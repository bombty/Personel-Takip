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OneDrive\Masaüstü\"/>
    </mc:Choice>
  </mc:AlternateContent>
  <xr:revisionPtr revIDLastSave="0" documentId="13_ncr:1_{8CEE9F82-475A-4AC8-9873-60FE7D8096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ŞIKLAR" sheetId="1" r:id="rId1"/>
    <sheet name="LARA" sheetId="2" r:id="rId2"/>
  </sheets>
  <definedNames>
    <definedName name="_xlnm._FilterDatabase" localSheetId="0" hidden="1">IŞIKLAR!$A$1:$B$78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" l="1"/>
  <c r="L126" i="2"/>
  <c r="K126" i="2"/>
  <c r="J126" i="2"/>
  <c r="I126" i="2"/>
  <c r="G14" i="1"/>
  <c r="C61" i="1" l="1"/>
  <c r="C56" i="1"/>
  <c r="C51" i="1"/>
  <c r="C46" i="1"/>
  <c r="C41" i="1"/>
  <c r="C36" i="1"/>
  <c r="C31" i="1"/>
  <c r="C26" i="1"/>
  <c r="C21" i="1"/>
  <c r="C16" i="1"/>
  <c r="C11" i="1"/>
  <c r="C6" i="1"/>
  <c r="C78" i="1" l="1"/>
  <c r="G15" i="1" s="1"/>
  <c r="G16" i="1" s="1"/>
  <c r="G17" i="1" s="1"/>
  <c r="G18" i="1" s="1"/>
</calcChain>
</file>

<file path=xl/sharedStrings.xml><?xml version="1.0" encoding="utf-8"?>
<sst xmlns="http://schemas.openxmlformats.org/spreadsheetml/2006/main" count="743" uniqueCount="183">
  <si>
    <t>ELEKTRİK GİDERİ</t>
  </si>
  <si>
    <t>SU GİDERİ</t>
  </si>
  <si>
    <t xml:space="preserve">KİRA GİDERİ </t>
  </si>
  <si>
    <t xml:space="preserve">MALZEME BEDELİ </t>
  </si>
  <si>
    <t xml:space="preserve">OCAK </t>
  </si>
  <si>
    <t xml:space="preserve">ŞUBAT 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</si>
  <si>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</si>
  <si>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</si>
  <si>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</si>
  <si>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</si>
  <si>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</si>
  <si>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</si>
  <si>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</si>
  <si>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</si>
  <si>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</si>
  <si>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</si>
  <si>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GİDERLERİ</t>
  </si>
  <si>
    <t>TUTAR</t>
  </si>
  <si>
    <t>PERSONEL GİDERİ</t>
  </si>
  <si>
    <t xml:space="preserve">TOPLAM </t>
  </si>
  <si>
    <t xml:space="preserve">YARIM YAĞLI SÜT </t>
  </si>
  <si>
    <t>TAM YAĞLI SÜT</t>
  </si>
  <si>
    <t>LAKTOSUZ SÜT</t>
  </si>
  <si>
    <t>YULAF SÜTÜ</t>
  </si>
  <si>
    <t>IŞIKLAR</t>
  </si>
  <si>
    <t xml:space="preserve">CİRO </t>
  </si>
  <si>
    <t>GİDER</t>
  </si>
  <si>
    <t>TOPLAM GİDER</t>
  </si>
  <si>
    <t xml:space="preserve">NET KAR </t>
  </si>
  <si>
    <t>DİĞER GİDERLER %5</t>
  </si>
  <si>
    <t>Sıra No.</t>
  </si>
  <si>
    <t>Fatura Türü</t>
  </si>
  <si>
    <t>Fatura Numarası</t>
  </si>
  <si>
    <t>Fatura Durumu</t>
  </si>
  <si>
    <t>Tarihi</t>
  </si>
  <si>
    <t>Cari Hesap Unvanı</t>
  </si>
  <si>
    <t>İşlem Döviz Türü</t>
  </si>
  <si>
    <t>Fatura Toplamı</t>
  </si>
  <si>
    <t>Toplam İndirim</t>
  </si>
  <si>
    <t>Toplam KDV</t>
  </si>
  <si>
    <t>Fatura Net Toplamı</t>
  </si>
  <si>
    <t>Toptan Satış Faturası</t>
  </si>
  <si>
    <t>BOM2025000000004</t>
  </si>
  <si>
    <t>İptal Edilmemiş</t>
  </si>
  <si>
    <t>COFFE CUBE GIDA RESTORAN TUR.SAN. VE TİC. LTD.ŞTİ.</t>
  </si>
  <si>
    <t>TL</t>
  </si>
  <si>
    <t>Verilen Hizmet Faturası</t>
  </si>
  <si>
    <t>BOM2025000000008</t>
  </si>
  <si>
    <t>BOM2025000000022</t>
  </si>
  <si>
    <t>BOM2025000000024</t>
  </si>
  <si>
    <t>BOM2025000000030</t>
  </si>
  <si>
    <t>BOM2025000000039</t>
  </si>
  <si>
    <t>BOM2025000000052</t>
  </si>
  <si>
    <t>BOM2025000000057</t>
  </si>
  <si>
    <t>BOM2025000000068</t>
  </si>
  <si>
    <t>BOM2025000000069</t>
  </si>
  <si>
    <t>BOM2025000000074</t>
  </si>
  <si>
    <t>BOM2025000000077</t>
  </si>
  <si>
    <t>BOM2025000000088</t>
  </si>
  <si>
    <t>BOM2025000000106</t>
  </si>
  <si>
    <t>BOM2025000000113</t>
  </si>
  <si>
    <t>BOM2025000000120</t>
  </si>
  <si>
    <t>BOM2025000000134</t>
  </si>
  <si>
    <t>BOM2025000000142</t>
  </si>
  <si>
    <t>BOM2025000000150</t>
  </si>
  <si>
    <t>BOM2025000000157</t>
  </si>
  <si>
    <t>BOM2025000000162</t>
  </si>
  <si>
    <t>BOM2025000000171</t>
  </si>
  <si>
    <t>BOM2025000000183</t>
  </si>
  <si>
    <t>BOM2025000000189</t>
  </si>
  <si>
    <t>BOM2025000000201</t>
  </si>
  <si>
    <t>BOM2025000000208</t>
  </si>
  <si>
    <t>BOM2025000000214</t>
  </si>
  <si>
    <t>BOM2025000000225</t>
  </si>
  <si>
    <t>BOM2025000000232</t>
  </si>
  <si>
    <t>BOM2025000000234</t>
  </si>
  <si>
    <t>BOM2025000000240</t>
  </si>
  <si>
    <t>BOM2025000000248</t>
  </si>
  <si>
    <t>BOM2025000000253</t>
  </si>
  <si>
    <t>BOM2025000000258</t>
  </si>
  <si>
    <t>BOM2025000000264</t>
  </si>
  <si>
    <t>BOM2025000000268</t>
  </si>
  <si>
    <t>BOM2025000000272</t>
  </si>
  <si>
    <t>BOM2025000000282</t>
  </si>
  <si>
    <t>BOM2025000000285</t>
  </si>
  <si>
    <t>BOM2025000000288</t>
  </si>
  <si>
    <t>BOM2025000000292</t>
  </si>
  <si>
    <t>BOM2025000000297</t>
  </si>
  <si>
    <t>BOM2025000000310</t>
  </si>
  <si>
    <t>BOM2025000000317</t>
  </si>
  <si>
    <t>BOM2025000000324</t>
  </si>
  <si>
    <t>BOM2025000000329</t>
  </si>
  <si>
    <t>BOM2025000000330</t>
  </si>
  <si>
    <t>BOM2025000000341</t>
  </si>
  <si>
    <t>BOM2025000000351</t>
  </si>
  <si>
    <t>BOM2025000000367</t>
  </si>
  <si>
    <t>BOM2025000000370</t>
  </si>
  <si>
    <t>BOM2025000000379</t>
  </si>
  <si>
    <t>BOM2025000000384</t>
  </si>
  <si>
    <t>BOM2025000000389</t>
  </si>
  <si>
    <t>BOM2025000000396</t>
  </si>
  <si>
    <t>BOM2025000000402</t>
  </si>
  <si>
    <t>BOM2025000000414</t>
  </si>
  <si>
    <t>BOM2025000000420</t>
  </si>
  <si>
    <t>BOM2025000000421</t>
  </si>
  <si>
    <t>BOM2025000000426</t>
  </si>
  <si>
    <t>BOM2025000000428</t>
  </si>
  <si>
    <t>BOM2025000000438</t>
  </si>
  <si>
    <t>BOM2025000000446</t>
  </si>
  <si>
    <t>BOM2025000000454</t>
  </si>
  <si>
    <t>BOM2025000000458</t>
  </si>
  <si>
    <t>USD</t>
  </si>
  <si>
    <t>BOM2025000000459</t>
  </si>
  <si>
    <t>BOM2025000000470</t>
  </si>
  <si>
    <t>BOM2025000000475</t>
  </si>
  <si>
    <t>BOM2025000000479</t>
  </si>
  <si>
    <t>BOM2025000000487</t>
  </si>
  <si>
    <t>BOM2025000000495</t>
  </si>
  <si>
    <t>BOM2025000000498</t>
  </si>
  <si>
    <t>BOM2025000000514</t>
  </si>
  <si>
    <t>BOM2025000000524</t>
  </si>
  <si>
    <t>BOM2025000000536</t>
  </si>
  <si>
    <t>BOM2025000000542</t>
  </si>
  <si>
    <t>BOM2025000000546</t>
  </si>
  <si>
    <t>BOM2025000000561</t>
  </si>
  <si>
    <t>BOM2025000000571</t>
  </si>
  <si>
    <t>BOM2025000000579</t>
  </si>
  <si>
    <t>BOM2025000000590</t>
  </si>
  <si>
    <t>BOM2025000000595</t>
  </si>
  <si>
    <t>BOM2025000000597</t>
  </si>
  <si>
    <t>BOM2025000000614</t>
  </si>
  <si>
    <t>BOM2025000000622</t>
  </si>
  <si>
    <t>BOM2025000000623</t>
  </si>
  <si>
    <t>BOM2025000000624</t>
  </si>
  <si>
    <t>BOM2025000000636</t>
  </si>
  <si>
    <t>BOM2025000000640</t>
  </si>
  <si>
    <t>BOM2025000000651</t>
  </si>
  <si>
    <t>BOM2025000000654</t>
  </si>
  <si>
    <t>BOM2025000000672</t>
  </si>
  <si>
    <t>BOM2025000000676</t>
  </si>
  <si>
    <t>BOM2025000000687</t>
  </si>
  <si>
    <t>BOM2025000000698</t>
  </si>
  <si>
    <t>BOM2025000000712</t>
  </si>
  <si>
    <t>BOM2025000000720</t>
  </si>
  <si>
    <t>BOM2025000000730</t>
  </si>
  <si>
    <t>BOM2025000000734</t>
  </si>
  <si>
    <t>BOM2025000000739</t>
  </si>
  <si>
    <t>BOM2025000000752</t>
  </si>
  <si>
    <t>BOM2025000000762</t>
  </si>
  <si>
    <t>BOM2025000000772</t>
  </si>
  <si>
    <t>BOM2025000000778</t>
  </si>
  <si>
    <t>BOM2025000000786</t>
  </si>
  <si>
    <t>BOM2025000000792</t>
  </si>
  <si>
    <t>BOM2025000000804</t>
  </si>
  <si>
    <t>BOM2025000000807</t>
  </si>
  <si>
    <t>BOM2025000000845</t>
  </si>
  <si>
    <t>BOM2025000000851</t>
  </si>
  <si>
    <t>BOM2025000000852</t>
  </si>
  <si>
    <t>BOM2025000000899</t>
  </si>
  <si>
    <t>BOM2025000000909</t>
  </si>
  <si>
    <t>BOM2025000000910</t>
  </si>
  <si>
    <t>BOM2025000000915</t>
  </si>
  <si>
    <t>BOM2025000000916</t>
  </si>
  <si>
    <t>BOM2025000000920</t>
  </si>
  <si>
    <t>BOM2025000000923</t>
  </si>
  <si>
    <t>BOM2025000000931</t>
  </si>
  <si>
    <t>BOM2025000000935</t>
  </si>
  <si>
    <t>BOM2025000000948</t>
  </si>
  <si>
    <t>BOM2025000001012</t>
  </si>
  <si>
    <t>BOM2025000001048</t>
  </si>
  <si>
    <t>BOM2025000001055</t>
  </si>
  <si>
    <t>TENTE</t>
  </si>
  <si>
    <t xml:space="preserve">PERS. ULAŞIM </t>
  </si>
  <si>
    <t xml:space="preserve">ELEK. İŞÇİLİK </t>
  </si>
  <si>
    <t>YANGIN TÜP BAK.</t>
  </si>
  <si>
    <t xml:space="preserve">MENÜBOARD </t>
  </si>
  <si>
    <t>KLİMATEK KAHVE MAK. BAKIM Y. PARÇA</t>
  </si>
  <si>
    <t xml:space="preserve">SU SAYACI </t>
  </si>
  <si>
    <t>ARITMA SU MALZE.(SU TANKI )</t>
  </si>
  <si>
    <t>SU SİRKİLASYON POMPASI</t>
  </si>
  <si>
    <t xml:space="preserve">REVİNOZ BUZ EVYE </t>
  </si>
  <si>
    <t xml:space="preserve">DERİN DONDURUCU </t>
  </si>
  <si>
    <t xml:space="preserve">ARITMA CİHAZI BAKIM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</si>
</sst>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1" applyFont="1"/>
    <xf numFmtId="0" fontId="0" fillId="2" borderId="1" xfId="0" applyFill="1" applyBorder="1"/>
    <xf numFmtId="43" fontId="0" fillId="2" borderId="1" xfId="1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3" fontId="0" fillId="3" borderId="1" xfId="1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43" fontId="2" fillId="0" borderId="0" xfId="0" applyNumberFormat="1" applyFont="1"/>
    <xf numFmtId="49" fontId="0" fillId="0" borderId="0" xfId="0" applyNumberFormat="1"/>
    <xf numFmtId="14" fontId="0" fillId="0" borderId="0" xfId="0" applyNumberFormat="1"/>
    <xf numFmtId="43" fontId="0" fillId="2" borderId="0" xfId="0" applyNumberFormat="1" applyFill="1"/>
    <xf numFmtId="49" fontId="0" fillId="4" borderId="0" xfId="0" applyNumberFormat="1" applyFill="1"/>
    <xf numFmtId="0" fontId="0" fillId="4" borderId="0" xfId="0" applyFill="1"/>
    <xf numFmtId="43" fontId="0" fillId="4" borderId="0" xfId="0" applyNumberFormat="1" applyFill="1"/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D73" sqref="D73"/>
    </sheetView>
  </sheetViews>
  <sheetFormatPr defaultRowHeight="15" x14ac:dyDescent="0.25"/>
  <cols>
    <col min="1" max="1" width="11.28515625" customWidth="1"/>
    <col min="2" max="2" width="36.42578125" customWidth="1"/>
    <col min="3" max="3" width="14.28515625" style="3" bestFit="1" customWidth="1"/>
    <col min="6" max="6" width="18.42578125" bestFit="1" customWidth="1"/>
    <col min="7" max="7" width="14.28515625" bestFit="1" customWidth="1"/>
  </cols>
  <sheetData>
    <row r="1" spans="1:7" ht="30" customHeight="1" x14ac:dyDescent="0.25">
      <c r="A1" s="6">
        <v>2025</v>
      </c>
      <c r="B1" s="7" t="s">
        <v>16</v>
      </c>
      <c r="C1" s="8" t="s">
        <v>17</v>
      </c>
      <c r="F1" t="s">
        <v>24</v>
      </c>
      <c r="G1" t="s">
        <v>25</v>
      </c>
    </row>
    <row r="2" spans="1:7" x14ac:dyDescent="0.25">
      <c r="A2" s="18" t="s">
        <v>4</v>
      </c>
      <c r="B2" s="1" t="s">
        <v>0</v>
      </c>
      <c r="C2" s="2">
        <v>37977.74</v>
      </c>
      <c r="F2" t="s">
        <v>4</v>
      </c>
      <c r="G2" s="3">
        <v>1854392.1</v>
      </c>
    </row>
    <row r="3" spans="1:7" x14ac:dyDescent="0.25">
      <c r="A3" s="18"/>
      <c r="B3" s="1" t="s">
        <v>1</v>
      </c>
      <c r="C3" s="2">
        <v>11790.84</v>
      </c>
      <c r="F3" t="s">
        <v>5</v>
      </c>
      <c r="G3" s="3">
        <v>1610672.94</v>
      </c>
    </row>
    <row r="4" spans="1:7" x14ac:dyDescent="0.25">
      <c r="A4" s="18"/>
      <c r="B4" s="1" t="s">
        <v>2</v>
      </c>
      <c r="C4" s="2">
        <v>94100</v>
      </c>
      <c r="F4" t="s">
        <v>6</v>
      </c>
      <c r="G4" s="3">
        <v>2369621.11</v>
      </c>
    </row>
    <row r="5" spans="1:7" x14ac:dyDescent="0.25">
      <c r="A5" s="18"/>
      <c r="B5" s="1" t="s">
        <v>3</v>
      </c>
      <c r="C5" s="2">
        <v>490433.12</v>
      </c>
      <c r="F5" t="s">
        <v>7</v>
      </c>
      <c r="G5" s="3">
        <v>2357052</v>
      </c>
    </row>
    <row r="6" spans="1:7" x14ac:dyDescent="0.25">
      <c r="A6" s="18"/>
      <c r="B6" s="1" t="s">
        <v>18</v>
      </c>
      <c r="C6" s="2">
        <f>375940*1.2</f>
        <v>451128</v>
      </c>
      <c r="F6" t="s">
        <v>8</v>
      </c>
      <c r="G6" s="3">
        <v>2214417.59</v>
      </c>
    </row>
    <row r="7" spans="1:7" x14ac:dyDescent="0.25">
      <c r="A7" s="18" t="s">
        <v>5</v>
      </c>
      <c r="B7" s="1" t="s">
        <v>0</v>
      </c>
      <c r="C7" s="2">
        <v>41609.120000000003</v>
      </c>
      <c r="F7" t="s">
        <v>9</v>
      </c>
      <c r="G7" s="3">
        <v>2486099.4500000002</v>
      </c>
    </row>
    <row r="8" spans="1:7" x14ac:dyDescent="0.25">
      <c r="A8" s="18"/>
      <c r="B8" s="1" t="s">
        <v>1</v>
      </c>
      <c r="C8" s="2">
        <v>11500</v>
      </c>
      <c r="F8" t="s">
        <v>10</v>
      </c>
      <c r="G8" s="3">
        <v>2534616.65</v>
      </c>
    </row>
    <row r="9" spans="1:7" x14ac:dyDescent="0.25">
      <c r="A9" s="18"/>
      <c r="B9" s="1" t="s">
        <v>2</v>
      </c>
      <c r="C9" s="2">
        <v>94100</v>
      </c>
      <c r="F9" t="s">
        <v>11</v>
      </c>
      <c r="G9" s="3">
        <v>2271975</v>
      </c>
    </row>
    <row r="10" spans="1:7" x14ac:dyDescent="0.25">
      <c r="A10" s="18"/>
      <c r="B10" s="1" t="s">
        <v>3</v>
      </c>
      <c r="C10" s="2">
        <v>564605</v>
      </c>
      <c r="F10" t="s">
        <v>12</v>
      </c>
      <c r="G10" s="3">
        <v>2215402.2799999998</v>
      </c>
    </row>
    <row r="11" spans="1:7" x14ac:dyDescent="0.25">
      <c r="A11" s="18"/>
      <c r="B11" s="1" t="s">
        <v>18</v>
      </c>
      <c r="C11" s="2">
        <f>385810*1.2</f>
        <v>462972</v>
      </c>
      <c r="F11" t="s">
        <v>13</v>
      </c>
      <c r="G11" s="3">
        <v>2640629</v>
      </c>
    </row>
    <row r="12" spans="1:7" x14ac:dyDescent="0.25">
      <c r="A12" s="18" t="s">
        <v>6</v>
      </c>
      <c r="B12" s="1" t="s">
        <v>0</v>
      </c>
      <c r="C12" s="2">
        <v>29979.759999999998</v>
      </c>
      <c r="F12" t="s">
        <v>14</v>
      </c>
      <c r="G12" s="3">
        <v>2551467</v>
      </c>
    </row>
    <row r="13" spans="1:7" x14ac:dyDescent="0.25">
      <c r="A13" s="18"/>
      <c r="B13" s="1" t="s">
        <v>1</v>
      </c>
      <c r="C13" s="2">
        <v>11183.42</v>
      </c>
      <c r="F13" t="s">
        <v>15</v>
      </c>
      <c r="G13" s="3">
        <v>2165896</v>
      </c>
    </row>
    <row r="14" spans="1:7" x14ac:dyDescent="0.25">
      <c r="A14" s="18"/>
      <c r="B14" s="1" t="s">
        <v>2</v>
      </c>
      <c r="C14" s="2">
        <v>124823</v>
      </c>
      <c r="F14" s="10" t="s">
        <v>19</v>
      </c>
      <c r="G14" s="11">
        <f>SUM(G2:G13)</f>
        <v>27272241.120000005</v>
      </c>
    </row>
    <row r="15" spans="1:7" x14ac:dyDescent="0.25">
      <c r="A15" s="18"/>
      <c r="B15" s="1" t="s">
        <v>3</v>
      </c>
      <c r="C15" s="2">
        <v>557920</v>
      </c>
      <c r="F15" s="10" t="s">
        <v>26</v>
      </c>
      <c r="G15" s="11">
        <f>C78</f>
        <v>17043712.739999998</v>
      </c>
    </row>
    <row r="16" spans="1:7" x14ac:dyDescent="0.25">
      <c r="A16" s="18"/>
      <c r="B16" s="1" t="s">
        <v>18</v>
      </c>
      <c r="C16" s="2">
        <f>363150*1.2</f>
        <v>435780</v>
      </c>
      <c r="F16" s="10" t="s">
        <v>29</v>
      </c>
      <c r="G16" s="11">
        <f>G15*0.05</f>
        <v>852185.63699999999</v>
      </c>
    </row>
    <row r="17" spans="1:7" x14ac:dyDescent="0.25">
      <c r="A17" s="18" t="s">
        <v>7</v>
      </c>
      <c r="B17" s="1" t="s">
        <v>0</v>
      </c>
      <c r="C17" s="2">
        <v>39425.360000000001</v>
      </c>
      <c r="F17" s="10" t="s">
        <v>27</v>
      </c>
      <c r="G17" s="11">
        <f>G15+G16</f>
        <v>17895898.376999997</v>
      </c>
    </row>
    <row r="18" spans="1:7" x14ac:dyDescent="0.25">
      <c r="A18" s="18"/>
      <c r="B18" s="1" t="s">
        <v>1</v>
      </c>
      <c r="C18" s="2">
        <v>13292.3</v>
      </c>
      <c r="F18" s="10" t="s">
        <v>28</v>
      </c>
      <c r="G18" s="11">
        <f>G14-G17</f>
        <v>9376342.7430000082</v>
      </c>
    </row>
    <row r="19" spans="1:7" x14ac:dyDescent="0.25">
      <c r="A19" s="18"/>
      <c r="B19" s="1" t="s">
        <v>2</v>
      </c>
      <c r="C19" s="2">
        <v>124823</v>
      </c>
    </row>
    <row r="20" spans="1:7" x14ac:dyDescent="0.25">
      <c r="A20" s="18"/>
      <c r="B20" s="1" t="s">
        <v>3</v>
      </c>
      <c r="C20" s="2">
        <v>549897</v>
      </c>
    </row>
    <row r="21" spans="1:7" x14ac:dyDescent="0.25">
      <c r="A21" s="18"/>
      <c r="B21" s="1" t="s">
        <v>18</v>
      </c>
      <c r="C21" s="2">
        <f>336250*1.2</f>
        <v>403500</v>
      </c>
    </row>
    <row r="22" spans="1:7" x14ac:dyDescent="0.25">
      <c r="A22" s="18" t="s">
        <v>8</v>
      </c>
      <c r="B22" s="1" t="s">
        <v>0</v>
      </c>
      <c r="C22" s="2">
        <v>34650</v>
      </c>
    </row>
    <row r="23" spans="1:7" x14ac:dyDescent="0.25">
      <c r="A23" s="18"/>
      <c r="B23" s="1" t="s">
        <v>1</v>
      </c>
      <c r="C23" s="2">
        <v>13850.52</v>
      </c>
    </row>
    <row r="24" spans="1:7" x14ac:dyDescent="0.25">
      <c r="A24" s="18"/>
      <c r="B24" s="1" t="s">
        <v>2</v>
      </c>
      <c r="C24" s="2">
        <v>124823</v>
      </c>
    </row>
    <row r="25" spans="1:7" x14ac:dyDescent="0.25">
      <c r="A25" s="18"/>
      <c r="B25" s="1" t="s">
        <v>3</v>
      </c>
      <c r="C25" s="2">
        <v>738315</v>
      </c>
    </row>
    <row r="26" spans="1:7" x14ac:dyDescent="0.25">
      <c r="A26" s="18"/>
      <c r="B26" s="1" t="s">
        <v>18</v>
      </c>
      <c r="C26" s="2">
        <f>356340*1.2</f>
        <v>427608</v>
      </c>
    </row>
    <row r="27" spans="1:7" x14ac:dyDescent="0.25">
      <c r="A27" s="18" t="s">
        <v>9</v>
      </c>
      <c r="B27" s="1" t="s">
        <v>0</v>
      </c>
      <c r="C27" s="2">
        <v>41530</v>
      </c>
    </row>
    <row r="28" spans="1:7" x14ac:dyDescent="0.25">
      <c r="A28" s="18"/>
      <c r="B28" s="1" t="s">
        <v>1</v>
      </c>
      <c r="C28" s="2">
        <v>13272</v>
      </c>
    </row>
    <row r="29" spans="1:7" x14ac:dyDescent="0.25">
      <c r="A29" s="18"/>
      <c r="B29" s="1" t="s">
        <v>2</v>
      </c>
      <c r="C29" s="2">
        <v>124823</v>
      </c>
    </row>
    <row r="30" spans="1:7" x14ac:dyDescent="0.25">
      <c r="A30" s="18"/>
      <c r="B30" s="1" t="s">
        <v>3</v>
      </c>
      <c r="C30" s="2">
        <v>572708</v>
      </c>
    </row>
    <row r="31" spans="1:7" x14ac:dyDescent="0.25">
      <c r="A31" s="18"/>
      <c r="B31" s="1" t="s">
        <v>18</v>
      </c>
      <c r="C31" s="2">
        <f>390450*1.2</f>
        <v>468540</v>
      </c>
    </row>
    <row r="32" spans="1:7" x14ac:dyDescent="0.25">
      <c r="A32" s="18" t="s">
        <v>10</v>
      </c>
      <c r="B32" s="1" t="s">
        <v>0</v>
      </c>
      <c r="C32" s="2">
        <v>54170</v>
      </c>
    </row>
    <row r="33" spans="1:3" x14ac:dyDescent="0.25">
      <c r="A33" s="18"/>
      <c r="B33" s="1" t="s">
        <v>1</v>
      </c>
      <c r="C33" s="2">
        <v>16819</v>
      </c>
    </row>
    <row r="34" spans="1:3" x14ac:dyDescent="0.25">
      <c r="A34" s="18"/>
      <c r="B34" s="1" t="s">
        <v>2</v>
      </c>
      <c r="C34" s="2">
        <v>124823</v>
      </c>
    </row>
    <row r="35" spans="1:3" x14ac:dyDescent="0.25">
      <c r="A35" s="18"/>
      <c r="B35" s="1" t="s">
        <v>3</v>
      </c>
      <c r="C35" s="2">
        <v>605008</v>
      </c>
    </row>
    <row r="36" spans="1:3" x14ac:dyDescent="0.25">
      <c r="A36" s="18"/>
      <c r="B36" s="1" t="s">
        <v>18</v>
      </c>
      <c r="C36" s="2">
        <f>398450*1.2</f>
        <v>478140</v>
      </c>
    </row>
    <row r="37" spans="1:3" x14ac:dyDescent="0.25">
      <c r="A37" s="18" t="s">
        <v>11</v>
      </c>
      <c r="B37" s="1" t="s">
        <v>0</v>
      </c>
      <c r="C37" s="2">
        <v>54000</v>
      </c>
    </row>
    <row r="38" spans="1:3" x14ac:dyDescent="0.25">
      <c r="A38" s="18"/>
      <c r="B38" s="1" t="s">
        <v>1</v>
      </c>
      <c r="C38" s="2">
        <v>17580</v>
      </c>
    </row>
    <row r="39" spans="1:3" x14ac:dyDescent="0.25">
      <c r="A39" s="18"/>
      <c r="B39" s="1" t="s">
        <v>2</v>
      </c>
      <c r="C39" s="2">
        <v>124823</v>
      </c>
    </row>
    <row r="40" spans="1:3" x14ac:dyDescent="0.25">
      <c r="A40" s="18"/>
      <c r="B40" s="1" t="s">
        <v>3</v>
      </c>
      <c r="C40" s="2">
        <v>681575</v>
      </c>
    </row>
    <row r="41" spans="1:3" x14ac:dyDescent="0.25">
      <c r="A41" s="18"/>
      <c r="B41" s="1" t="s">
        <v>18</v>
      </c>
      <c r="C41" s="2">
        <f>399110*1.2</f>
        <v>478932</v>
      </c>
    </row>
    <row r="42" spans="1:3" x14ac:dyDescent="0.25">
      <c r="A42" s="18" t="s">
        <v>12</v>
      </c>
      <c r="B42" s="1" t="s">
        <v>0</v>
      </c>
      <c r="C42" s="2">
        <v>35475</v>
      </c>
    </row>
    <row r="43" spans="1:3" x14ac:dyDescent="0.25">
      <c r="A43" s="18"/>
      <c r="B43" s="1" t="s">
        <v>1</v>
      </c>
      <c r="C43" s="2">
        <v>18360</v>
      </c>
    </row>
    <row r="44" spans="1:3" x14ac:dyDescent="0.25">
      <c r="A44" s="18"/>
      <c r="B44" s="1" t="s">
        <v>2</v>
      </c>
      <c r="C44" s="2">
        <v>124823</v>
      </c>
    </row>
    <row r="45" spans="1:3" x14ac:dyDescent="0.25">
      <c r="A45" s="18"/>
      <c r="B45" s="1" t="s">
        <v>3</v>
      </c>
      <c r="C45" s="2">
        <v>717097</v>
      </c>
    </row>
    <row r="46" spans="1:3" x14ac:dyDescent="0.25">
      <c r="A46" s="18"/>
      <c r="B46" s="1" t="s">
        <v>18</v>
      </c>
      <c r="C46" s="2">
        <f>341340*1.2</f>
        <v>409608</v>
      </c>
    </row>
    <row r="47" spans="1:3" x14ac:dyDescent="0.25">
      <c r="A47" s="18" t="s">
        <v>13</v>
      </c>
      <c r="B47" s="1" t="s">
        <v>0</v>
      </c>
      <c r="C47" s="2">
        <v>29965</v>
      </c>
    </row>
    <row r="48" spans="1:3" x14ac:dyDescent="0.25">
      <c r="A48" s="18"/>
      <c r="B48" s="1" t="s">
        <v>1</v>
      </c>
      <c r="C48" s="2">
        <v>17410</v>
      </c>
    </row>
    <row r="49" spans="1:3" x14ac:dyDescent="0.25">
      <c r="A49" s="18"/>
      <c r="B49" s="1" t="s">
        <v>2</v>
      </c>
      <c r="C49" s="2">
        <v>124823</v>
      </c>
    </row>
    <row r="50" spans="1:3" x14ac:dyDescent="0.25">
      <c r="A50" s="18"/>
      <c r="B50" s="1" t="s">
        <v>3</v>
      </c>
      <c r="C50" s="2">
        <v>688262</v>
      </c>
    </row>
    <row r="51" spans="1:3" x14ac:dyDescent="0.25">
      <c r="A51" s="18"/>
      <c r="B51" s="1" t="s">
        <v>18</v>
      </c>
      <c r="C51" s="2">
        <f>395865*1.2</f>
        <v>475038</v>
      </c>
    </row>
    <row r="52" spans="1:3" x14ac:dyDescent="0.25">
      <c r="A52" s="18" t="s">
        <v>14</v>
      </c>
      <c r="B52" s="1" t="s">
        <v>0</v>
      </c>
      <c r="C52" s="2">
        <v>29996</v>
      </c>
    </row>
    <row r="53" spans="1:3" x14ac:dyDescent="0.25">
      <c r="A53" s="18"/>
      <c r="B53" s="1" t="s">
        <v>1</v>
      </c>
      <c r="C53" s="2">
        <v>18688</v>
      </c>
    </row>
    <row r="54" spans="1:3" x14ac:dyDescent="0.25">
      <c r="A54" s="18"/>
      <c r="B54" s="1" t="s">
        <v>2</v>
      </c>
      <c r="C54" s="2">
        <v>124823</v>
      </c>
    </row>
    <row r="55" spans="1:3" x14ac:dyDescent="0.25">
      <c r="A55" s="18"/>
      <c r="B55" s="1" t="s">
        <v>3</v>
      </c>
      <c r="C55" s="2">
        <v>604660</v>
      </c>
    </row>
    <row r="56" spans="1:3" x14ac:dyDescent="0.25">
      <c r="A56" s="18"/>
      <c r="B56" s="1" t="s">
        <v>18</v>
      </c>
      <c r="C56" s="2">
        <f>353530*1.2</f>
        <v>424236</v>
      </c>
    </row>
    <row r="57" spans="1:3" x14ac:dyDescent="0.25">
      <c r="A57" s="18" t="s">
        <v>15</v>
      </c>
      <c r="B57" s="1" t="s">
        <v>0</v>
      </c>
      <c r="C57" s="2">
        <v>36340</v>
      </c>
    </row>
    <row r="58" spans="1:3" x14ac:dyDescent="0.25">
      <c r="A58" s="18"/>
      <c r="B58" s="1" t="s">
        <v>1</v>
      </c>
      <c r="C58" s="2">
        <v>14261.95</v>
      </c>
    </row>
    <row r="59" spans="1:3" x14ac:dyDescent="0.25">
      <c r="A59" s="18"/>
      <c r="B59" s="1" t="s">
        <v>2</v>
      </c>
      <c r="C59" s="2">
        <v>124823</v>
      </c>
    </row>
    <row r="60" spans="1:3" x14ac:dyDescent="0.25">
      <c r="A60" s="18"/>
      <c r="B60" s="1" t="s">
        <v>3</v>
      </c>
      <c r="C60" s="2">
        <v>573188</v>
      </c>
    </row>
    <row r="61" spans="1:3" x14ac:dyDescent="0.25">
      <c r="A61" s="18"/>
      <c r="B61" s="1" t="s">
        <v>18</v>
      </c>
      <c r="C61" s="2">
        <f>347593*1.2</f>
        <v>417111.6</v>
      </c>
    </row>
    <row r="62" spans="1:3" x14ac:dyDescent="0.25">
      <c r="A62" s="9">
        <v>2025</v>
      </c>
      <c r="B62" s="1" t="s">
        <v>171</v>
      </c>
      <c r="C62" s="2">
        <v>156400</v>
      </c>
    </row>
    <row r="63" spans="1:3" x14ac:dyDescent="0.25">
      <c r="A63" s="9">
        <v>2025</v>
      </c>
      <c r="B63" s="1" t="s">
        <v>172</v>
      </c>
      <c r="C63" s="2">
        <v>506880</v>
      </c>
    </row>
    <row r="64" spans="1:3" x14ac:dyDescent="0.25">
      <c r="A64" s="9">
        <v>2025</v>
      </c>
      <c r="B64" s="1" t="s">
        <v>173</v>
      </c>
      <c r="C64" s="2">
        <v>28260</v>
      </c>
    </row>
    <row r="65" spans="1:3" x14ac:dyDescent="0.25">
      <c r="A65" s="9">
        <v>2025</v>
      </c>
      <c r="B65" s="1" t="s">
        <v>174</v>
      </c>
      <c r="C65" s="2">
        <v>4000</v>
      </c>
    </row>
    <row r="66" spans="1:3" x14ac:dyDescent="0.25">
      <c r="A66" s="9">
        <v>2025</v>
      </c>
      <c r="B66" s="1" t="s">
        <v>175</v>
      </c>
      <c r="C66" s="2">
        <v>19200</v>
      </c>
    </row>
    <row r="67" spans="1:3" x14ac:dyDescent="0.25">
      <c r="A67" s="9">
        <v>2025</v>
      </c>
      <c r="B67" s="1" t="s">
        <v>176</v>
      </c>
      <c r="C67" s="2">
        <v>260000</v>
      </c>
    </row>
    <row r="68" spans="1:3" x14ac:dyDescent="0.25">
      <c r="A68" s="9">
        <v>2025</v>
      </c>
      <c r="B68" s="1" t="s">
        <v>178</v>
      </c>
      <c r="C68" s="2">
        <v>170400</v>
      </c>
    </row>
    <row r="69" spans="1:3" x14ac:dyDescent="0.25">
      <c r="A69" s="9"/>
      <c r="B69" s="1" t="s">
        <v>177</v>
      </c>
      <c r="C69" s="2">
        <v>31200</v>
      </c>
    </row>
    <row r="70" spans="1:3" x14ac:dyDescent="0.25">
      <c r="A70" s="9"/>
      <c r="B70" s="1" t="s">
        <v>179</v>
      </c>
      <c r="C70" s="2">
        <v>16800</v>
      </c>
    </row>
    <row r="71" spans="1:3" x14ac:dyDescent="0.25">
      <c r="A71" s="9"/>
      <c r="B71" s="1" t="s">
        <v>180</v>
      </c>
      <c r="C71" s="2">
        <f>182020*1.2</f>
        <v>218424</v>
      </c>
    </row>
    <row r="72" spans="1:3" x14ac:dyDescent="0.25">
      <c r="A72" s="9"/>
      <c r="B72" s="1" t="s">
        <v>181</v>
      </c>
      <c r="C72" s="2">
        <v>70500</v>
      </c>
    </row>
    <row r="73" spans="1:3" x14ac:dyDescent="0.25">
      <c r="A73" s="9">
        <v>2025</v>
      </c>
      <c r="B73" s="1" t="s">
        <v>182</v>
      </c>
      <c r="C73" s="2">
        <v>79700</v>
      </c>
    </row>
    <row r="74" spans="1:3" x14ac:dyDescent="0.25">
      <c r="A74" s="9">
        <v>2025</v>
      </c>
      <c r="B74" s="1" t="s">
        <v>20</v>
      </c>
      <c r="C74" s="2">
        <v>15652</v>
      </c>
    </row>
    <row r="75" spans="1:3" x14ac:dyDescent="0.25">
      <c r="A75" s="9">
        <v>2025</v>
      </c>
      <c r="B75" s="1" t="s">
        <v>21</v>
      </c>
      <c r="C75" s="2">
        <v>489187</v>
      </c>
    </row>
    <row r="76" spans="1:3" x14ac:dyDescent="0.25">
      <c r="A76" s="9">
        <v>2025</v>
      </c>
      <c r="B76" s="1" t="s">
        <v>22</v>
      </c>
      <c r="C76" s="2">
        <v>200005</v>
      </c>
    </row>
    <row r="77" spans="1:3" x14ac:dyDescent="0.25">
      <c r="A77" s="9">
        <v>2025</v>
      </c>
      <c r="B77" s="1" t="s">
        <v>23</v>
      </c>
      <c r="C77" s="2">
        <v>21287.01</v>
      </c>
    </row>
    <row r="78" spans="1:3" x14ac:dyDescent="0.25">
      <c r="B78" s="4" t="s">
        <v>19</v>
      </c>
      <c r="C78" s="5">
        <f>SUM(C2:C77)</f>
        <v>17043712.739999998</v>
      </c>
    </row>
  </sheetData>
  <autoFilter ref="A1:B78" xr:uid="{00000000-0001-0000-0000-000000000000}"/>
  <mergeCells count="12">
    <mergeCell ref="A2:A6"/>
    <mergeCell ref="A57:A61"/>
    <mergeCell ref="A52:A56"/>
    <mergeCell ref="A47:A51"/>
    <mergeCell ref="A42:A46"/>
    <mergeCell ref="A37:A41"/>
    <mergeCell ref="A32:A36"/>
    <mergeCell ref="A27:A31"/>
    <mergeCell ref="A22:A26"/>
    <mergeCell ref="A17:A21"/>
    <mergeCell ref="A12:A16"/>
    <mergeCell ref="A7:A1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07E9-9075-499C-9147-9401404ACAA6}">
  <dimension ref="A1:L126"/>
  <sheetViews>
    <sheetView workbookViewId="0">
      <pane ySplit="1" topLeftCell="A108" activePane="bottomLeft" state="frozen"/>
      <selection pane="bottomLeft" activeCell="E136" sqref="E136"/>
    </sheetView>
  </sheetViews>
  <sheetFormatPr defaultRowHeight="15" x14ac:dyDescent="0.25"/>
  <cols>
    <col min="1" max="1" width="9.42578125" bestFit="1" customWidth="1"/>
    <col min="2" max="2" width="10.85546875" customWidth="1"/>
    <col min="3" max="3" width="22" bestFit="1" customWidth="1"/>
    <col min="4" max="4" width="18.5703125" bestFit="1" customWidth="1"/>
    <col min="5" max="5" width="14.85546875" bestFit="1" customWidth="1"/>
    <col min="6" max="6" width="10.140625" bestFit="1" customWidth="1"/>
    <col min="7" max="7" width="50" bestFit="1" customWidth="1"/>
    <col min="8" max="8" width="5.5703125" customWidth="1"/>
    <col min="9" max="9" width="15.5703125" bestFit="1" customWidth="1"/>
    <col min="10" max="10" width="16" bestFit="1" customWidth="1"/>
    <col min="11" max="11" width="13.28515625" bestFit="1" customWidth="1"/>
    <col min="12" max="12" width="19.42578125" bestFit="1" customWidth="1"/>
  </cols>
  <sheetData>
    <row r="1" spans="1:12" x14ac:dyDescent="0.25">
      <c r="A1" s="12" t="s">
        <v>30</v>
      </c>
      <c r="B1" s="12" t="s">
        <v>31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3" t="s">
        <v>37</v>
      </c>
      <c r="J1" s="3" t="s">
        <v>38</v>
      </c>
      <c r="K1" s="3" t="s">
        <v>39</v>
      </c>
      <c r="L1" s="3" t="s">
        <v>40</v>
      </c>
    </row>
    <row r="2" spans="1:12" x14ac:dyDescent="0.25">
      <c r="A2">
        <v>1</v>
      </c>
      <c r="B2">
        <v>8</v>
      </c>
      <c r="C2" s="12" t="s">
        <v>41</v>
      </c>
      <c r="D2" s="12" t="s">
        <v>42</v>
      </c>
      <c r="E2" s="12" t="s">
        <v>43</v>
      </c>
      <c r="F2" s="13">
        <v>45663</v>
      </c>
      <c r="G2" s="12" t="s">
        <v>44</v>
      </c>
      <c r="H2" s="12" t="s">
        <v>45</v>
      </c>
      <c r="I2" s="3">
        <v>44537.060000000005</v>
      </c>
      <c r="J2" s="3">
        <v>7114.94</v>
      </c>
      <c r="K2" s="3">
        <v>2097.29</v>
      </c>
      <c r="L2" s="3">
        <v>39519.410000000003</v>
      </c>
    </row>
    <row r="3" spans="1:12" x14ac:dyDescent="0.25">
      <c r="A3">
        <v>2</v>
      </c>
      <c r="B3">
        <v>9</v>
      </c>
      <c r="C3" s="12" t="s">
        <v>46</v>
      </c>
      <c r="D3" s="12" t="s">
        <v>47</v>
      </c>
      <c r="E3" s="12" t="s">
        <v>43</v>
      </c>
      <c r="F3" s="13">
        <v>45663</v>
      </c>
      <c r="G3" s="12" t="s">
        <v>44</v>
      </c>
      <c r="H3" s="12" t="s">
        <v>45</v>
      </c>
      <c r="I3" s="3">
        <v>27751.32</v>
      </c>
      <c r="J3" s="3">
        <v>0</v>
      </c>
      <c r="K3" s="3">
        <v>2775.13</v>
      </c>
      <c r="L3" s="3">
        <v>30526.45</v>
      </c>
    </row>
    <row r="4" spans="1:12" x14ac:dyDescent="0.25">
      <c r="A4">
        <v>3</v>
      </c>
      <c r="B4">
        <v>8</v>
      </c>
      <c r="C4" s="12" t="s">
        <v>41</v>
      </c>
      <c r="D4" s="12" t="s">
        <v>48</v>
      </c>
      <c r="E4" s="12" t="s">
        <v>43</v>
      </c>
      <c r="F4" s="13">
        <v>45664</v>
      </c>
      <c r="G4" s="12" t="s">
        <v>44</v>
      </c>
      <c r="H4" s="12" t="s">
        <v>45</v>
      </c>
      <c r="I4" s="3">
        <v>71725.69</v>
      </c>
      <c r="J4" s="3">
        <v>10888.32</v>
      </c>
      <c r="K4" s="3">
        <v>2655.94</v>
      </c>
      <c r="L4" s="3">
        <v>63493.31</v>
      </c>
    </row>
    <row r="5" spans="1:12" x14ac:dyDescent="0.25">
      <c r="A5">
        <v>4</v>
      </c>
      <c r="B5">
        <v>8</v>
      </c>
      <c r="C5" s="12" t="s">
        <v>41</v>
      </c>
      <c r="D5" s="12" t="s">
        <v>49</v>
      </c>
      <c r="E5" s="12" t="s">
        <v>43</v>
      </c>
      <c r="F5" s="13">
        <v>45670</v>
      </c>
      <c r="G5" s="12" t="s">
        <v>44</v>
      </c>
      <c r="H5" s="12" t="s">
        <v>45</v>
      </c>
      <c r="I5" s="3">
        <v>63081.079999999994</v>
      </c>
      <c r="J5" s="3">
        <v>8796.1</v>
      </c>
      <c r="K5" s="3">
        <v>1539.8000000000002</v>
      </c>
      <c r="L5" s="3">
        <v>55824.78</v>
      </c>
    </row>
    <row r="6" spans="1:12" x14ac:dyDescent="0.25">
      <c r="A6">
        <v>5</v>
      </c>
      <c r="B6">
        <v>8</v>
      </c>
      <c r="C6" s="12" t="s">
        <v>41</v>
      </c>
      <c r="D6" s="12" t="s">
        <v>50</v>
      </c>
      <c r="E6" s="12" t="s">
        <v>43</v>
      </c>
      <c r="F6" s="13">
        <v>45671</v>
      </c>
      <c r="G6" s="12" t="s">
        <v>44</v>
      </c>
      <c r="H6" s="12" t="s">
        <v>45</v>
      </c>
      <c r="I6" s="3">
        <v>77419.739999999991</v>
      </c>
      <c r="J6" s="3">
        <v>12285.11</v>
      </c>
      <c r="K6" s="3">
        <v>3576.43</v>
      </c>
      <c r="L6" s="3">
        <v>68711.06</v>
      </c>
    </row>
    <row r="7" spans="1:12" x14ac:dyDescent="0.25">
      <c r="A7">
        <v>6</v>
      </c>
      <c r="B7">
        <v>8</v>
      </c>
      <c r="C7" s="12" t="s">
        <v>41</v>
      </c>
      <c r="D7" s="12" t="s">
        <v>51</v>
      </c>
      <c r="E7" s="12" t="s">
        <v>43</v>
      </c>
      <c r="F7" s="13">
        <v>45674</v>
      </c>
      <c r="G7" s="12" t="s">
        <v>44</v>
      </c>
      <c r="H7" s="12" t="s">
        <v>45</v>
      </c>
      <c r="I7" s="3">
        <v>57590.14</v>
      </c>
      <c r="J7" s="3">
        <v>8544.0400000000009</v>
      </c>
      <c r="K7" s="3">
        <v>2097.8599999999997</v>
      </c>
      <c r="L7" s="3">
        <v>51143.96</v>
      </c>
    </row>
    <row r="8" spans="1:12" x14ac:dyDescent="0.25">
      <c r="A8">
        <v>7</v>
      </c>
      <c r="B8">
        <v>8</v>
      </c>
      <c r="C8" s="12" t="s">
        <v>41</v>
      </c>
      <c r="D8" s="12" t="s">
        <v>52</v>
      </c>
      <c r="E8" s="12" t="s">
        <v>43</v>
      </c>
      <c r="F8" s="13">
        <v>45678</v>
      </c>
      <c r="G8" s="12" t="s">
        <v>44</v>
      </c>
      <c r="H8" s="12" t="s">
        <v>45</v>
      </c>
      <c r="I8" s="3">
        <v>73861.56</v>
      </c>
      <c r="J8" s="3">
        <v>13536.95</v>
      </c>
      <c r="K8" s="3">
        <v>2043.6299999999999</v>
      </c>
      <c r="L8" s="3">
        <v>62368.24</v>
      </c>
    </row>
    <row r="9" spans="1:12" x14ac:dyDescent="0.25">
      <c r="A9">
        <v>8</v>
      </c>
      <c r="B9">
        <v>8</v>
      </c>
      <c r="C9" s="12" t="s">
        <v>41</v>
      </c>
      <c r="D9" s="12" t="s">
        <v>53</v>
      </c>
      <c r="E9" s="12" t="s">
        <v>43</v>
      </c>
      <c r="F9" s="13">
        <v>45681</v>
      </c>
      <c r="G9" s="12" t="s">
        <v>44</v>
      </c>
      <c r="H9" s="12" t="s">
        <v>45</v>
      </c>
      <c r="I9" s="3">
        <v>65788.290000000008</v>
      </c>
      <c r="J9" s="3">
        <v>7616.05</v>
      </c>
      <c r="K9" s="3">
        <v>4981.7699999999995</v>
      </c>
      <c r="L9" s="3">
        <v>63154.01</v>
      </c>
    </row>
    <row r="10" spans="1:12" x14ac:dyDescent="0.25">
      <c r="A10">
        <v>9</v>
      </c>
      <c r="B10">
        <v>8</v>
      </c>
      <c r="C10" s="12" t="s">
        <v>41</v>
      </c>
      <c r="D10" s="12" t="s">
        <v>54</v>
      </c>
      <c r="E10" s="12" t="s">
        <v>43</v>
      </c>
      <c r="F10" s="13">
        <v>45685</v>
      </c>
      <c r="G10" s="12" t="s">
        <v>44</v>
      </c>
      <c r="H10" s="12" t="s">
        <v>45</v>
      </c>
      <c r="I10" s="3">
        <v>99319</v>
      </c>
      <c r="J10" s="3">
        <v>16439.5</v>
      </c>
      <c r="K10" s="3">
        <v>3404.05</v>
      </c>
      <c r="L10" s="3">
        <v>86283.55</v>
      </c>
    </row>
    <row r="11" spans="1:12" x14ac:dyDescent="0.25">
      <c r="A11">
        <v>10</v>
      </c>
      <c r="B11">
        <v>8</v>
      </c>
      <c r="C11" s="12" t="s">
        <v>41</v>
      </c>
      <c r="D11" s="12" t="s">
        <v>55</v>
      </c>
      <c r="E11" s="12" t="s">
        <v>43</v>
      </c>
      <c r="F11" s="13">
        <v>45686</v>
      </c>
      <c r="G11" s="12" t="s">
        <v>44</v>
      </c>
      <c r="H11" s="12" t="s">
        <v>45</v>
      </c>
      <c r="I11" s="3">
        <v>42394.8</v>
      </c>
      <c r="J11" s="3">
        <v>0</v>
      </c>
      <c r="K11" s="3">
        <v>8478.9599999999991</v>
      </c>
      <c r="L11" s="3">
        <v>50873.760000000002</v>
      </c>
    </row>
    <row r="12" spans="1:12" x14ac:dyDescent="0.25">
      <c r="A12">
        <v>11</v>
      </c>
      <c r="B12">
        <v>8</v>
      </c>
      <c r="C12" s="12" t="s">
        <v>41</v>
      </c>
      <c r="D12" s="12" t="s">
        <v>56</v>
      </c>
      <c r="E12" s="12" t="s">
        <v>43</v>
      </c>
      <c r="F12" s="13">
        <v>45688</v>
      </c>
      <c r="G12" s="12" t="s">
        <v>44</v>
      </c>
      <c r="H12" s="12" t="s">
        <v>45</v>
      </c>
      <c r="I12" s="3">
        <v>82998.92</v>
      </c>
      <c r="J12" s="3">
        <v>11941.26</v>
      </c>
      <c r="K12" s="3">
        <v>4758.79</v>
      </c>
      <c r="L12" s="3">
        <v>75816.45</v>
      </c>
    </row>
    <row r="13" spans="1:12" x14ac:dyDescent="0.25">
      <c r="A13">
        <v>12</v>
      </c>
      <c r="B13">
        <v>9</v>
      </c>
      <c r="C13" s="12" t="s">
        <v>46</v>
      </c>
      <c r="D13" s="12" t="s">
        <v>57</v>
      </c>
      <c r="E13" s="12" t="s">
        <v>43</v>
      </c>
      <c r="F13" s="13">
        <v>45692</v>
      </c>
      <c r="G13" s="12" t="s">
        <v>44</v>
      </c>
      <c r="H13" s="12" t="s">
        <v>45</v>
      </c>
      <c r="I13" s="3">
        <v>41747.67</v>
      </c>
      <c r="J13" s="3">
        <v>0</v>
      </c>
      <c r="K13" s="3">
        <v>4174.7700000000004</v>
      </c>
      <c r="L13" s="3">
        <v>45922.44</v>
      </c>
    </row>
    <row r="14" spans="1:12" x14ac:dyDescent="0.25">
      <c r="A14">
        <v>13</v>
      </c>
      <c r="B14">
        <v>8</v>
      </c>
      <c r="C14" s="12" t="s">
        <v>41</v>
      </c>
      <c r="D14" s="12" t="s">
        <v>58</v>
      </c>
      <c r="E14" s="12" t="s">
        <v>43</v>
      </c>
      <c r="F14" s="13">
        <v>45692</v>
      </c>
      <c r="G14" s="12" t="s">
        <v>44</v>
      </c>
      <c r="H14" s="12" t="s">
        <v>45</v>
      </c>
      <c r="I14" s="3">
        <v>116434.04</v>
      </c>
      <c r="J14" s="3">
        <v>17563.63</v>
      </c>
      <c r="K14" s="3">
        <v>5185.6500000000005</v>
      </c>
      <c r="L14" s="3">
        <v>104056.06</v>
      </c>
    </row>
    <row r="15" spans="1:12" x14ac:dyDescent="0.25">
      <c r="A15">
        <v>14</v>
      </c>
      <c r="B15">
        <v>8</v>
      </c>
      <c r="C15" s="12" t="s">
        <v>41</v>
      </c>
      <c r="D15" s="12" t="s">
        <v>59</v>
      </c>
      <c r="E15" s="12" t="s">
        <v>43</v>
      </c>
      <c r="F15" s="13">
        <v>45695</v>
      </c>
      <c r="G15" s="12" t="s">
        <v>44</v>
      </c>
      <c r="H15" s="12" t="s">
        <v>45</v>
      </c>
      <c r="I15" s="3">
        <v>42212.92</v>
      </c>
      <c r="J15" s="3">
        <v>6150.59</v>
      </c>
      <c r="K15" s="3">
        <v>386.39</v>
      </c>
      <c r="L15" s="3">
        <v>36448.720000000001</v>
      </c>
    </row>
    <row r="16" spans="1:12" x14ac:dyDescent="0.25">
      <c r="A16">
        <v>15</v>
      </c>
      <c r="B16">
        <v>8</v>
      </c>
      <c r="C16" s="12" t="s">
        <v>41</v>
      </c>
      <c r="D16" s="12" t="s">
        <v>60</v>
      </c>
      <c r="E16" s="12" t="s">
        <v>43</v>
      </c>
      <c r="F16" s="13">
        <v>45699</v>
      </c>
      <c r="G16" s="12" t="s">
        <v>44</v>
      </c>
      <c r="H16" s="12" t="s">
        <v>45</v>
      </c>
      <c r="I16" s="3">
        <v>63179.27</v>
      </c>
      <c r="J16" s="3">
        <v>11239.73</v>
      </c>
      <c r="K16" s="3">
        <v>2906.7700000000004</v>
      </c>
      <c r="L16" s="3">
        <v>54846.31</v>
      </c>
    </row>
    <row r="17" spans="1:12" x14ac:dyDescent="0.25">
      <c r="A17">
        <v>16</v>
      </c>
      <c r="B17">
        <v>8</v>
      </c>
      <c r="C17" s="12" t="s">
        <v>41</v>
      </c>
      <c r="D17" s="12" t="s">
        <v>61</v>
      </c>
      <c r="E17" s="12" t="s">
        <v>43</v>
      </c>
      <c r="F17" s="13">
        <v>45702</v>
      </c>
      <c r="G17" s="12" t="s">
        <v>44</v>
      </c>
      <c r="H17" s="12" t="s">
        <v>45</v>
      </c>
      <c r="I17" s="3">
        <v>139441.05000000002</v>
      </c>
      <c r="J17" s="3">
        <v>17314.3</v>
      </c>
      <c r="K17" s="3">
        <v>9566.73</v>
      </c>
      <c r="L17" s="3">
        <v>131693.48000000001</v>
      </c>
    </row>
    <row r="18" spans="1:12" x14ac:dyDescent="0.25">
      <c r="A18">
        <v>17</v>
      </c>
      <c r="B18">
        <v>8</v>
      </c>
      <c r="C18" s="12" t="s">
        <v>41</v>
      </c>
      <c r="D18" s="12" t="s">
        <v>62</v>
      </c>
      <c r="E18" s="12" t="s">
        <v>43</v>
      </c>
      <c r="F18" s="13">
        <v>45706</v>
      </c>
      <c r="G18" s="12" t="s">
        <v>44</v>
      </c>
      <c r="H18" s="12" t="s">
        <v>45</v>
      </c>
      <c r="I18" s="3">
        <v>113511.59</v>
      </c>
      <c r="J18" s="3">
        <v>16935.23</v>
      </c>
      <c r="K18" s="3">
        <v>4252.03</v>
      </c>
      <c r="L18" s="3">
        <v>100828.39</v>
      </c>
    </row>
    <row r="19" spans="1:12" x14ac:dyDescent="0.25">
      <c r="A19">
        <v>18</v>
      </c>
      <c r="B19">
        <v>8</v>
      </c>
      <c r="C19" s="12" t="s">
        <v>41</v>
      </c>
      <c r="D19" s="12" t="s">
        <v>63</v>
      </c>
      <c r="E19" s="12" t="s">
        <v>43</v>
      </c>
      <c r="F19" s="13">
        <v>45712</v>
      </c>
      <c r="G19" s="12" t="s">
        <v>44</v>
      </c>
      <c r="H19" s="12" t="s">
        <v>45</v>
      </c>
      <c r="I19" s="3">
        <v>39965.33</v>
      </c>
      <c r="J19" s="3">
        <v>6445.37</v>
      </c>
      <c r="K19" s="3">
        <v>2419.2299999999996</v>
      </c>
      <c r="L19" s="3">
        <v>35939.19</v>
      </c>
    </row>
    <row r="20" spans="1:12" x14ac:dyDescent="0.25">
      <c r="A20">
        <v>19</v>
      </c>
      <c r="B20">
        <v>8</v>
      </c>
      <c r="C20" s="12" t="s">
        <v>41</v>
      </c>
      <c r="D20" s="12" t="s">
        <v>64</v>
      </c>
      <c r="E20" s="12" t="s">
        <v>43</v>
      </c>
      <c r="F20" s="13">
        <v>45713</v>
      </c>
      <c r="G20" s="12" t="s">
        <v>44</v>
      </c>
      <c r="H20" s="12" t="s">
        <v>45</v>
      </c>
      <c r="I20" s="3">
        <v>70568.12</v>
      </c>
      <c r="J20" s="3">
        <v>10968.19</v>
      </c>
      <c r="K20" s="3">
        <v>1442.08</v>
      </c>
      <c r="L20" s="3">
        <v>61042.01</v>
      </c>
    </row>
    <row r="21" spans="1:12" x14ac:dyDescent="0.25">
      <c r="A21">
        <v>20</v>
      </c>
      <c r="B21">
        <v>8</v>
      </c>
      <c r="C21" s="12" t="s">
        <v>41</v>
      </c>
      <c r="D21" s="12" t="s">
        <v>65</v>
      </c>
      <c r="E21" s="12" t="s">
        <v>43</v>
      </c>
      <c r="F21" s="13">
        <v>45716</v>
      </c>
      <c r="G21" s="12" t="s">
        <v>44</v>
      </c>
      <c r="H21" s="12" t="s">
        <v>45</v>
      </c>
      <c r="I21" s="3">
        <v>37372.020000000004</v>
      </c>
      <c r="J21" s="3">
        <v>5482.79</v>
      </c>
      <c r="K21" s="3">
        <v>1835.49</v>
      </c>
      <c r="L21" s="3">
        <v>33724.720000000001</v>
      </c>
    </row>
    <row r="22" spans="1:12" x14ac:dyDescent="0.25">
      <c r="A22">
        <v>21</v>
      </c>
      <c r="B22">
        <v>9</v>
      </c>
      <c r="C22" s="12" t="s">
        <v>46</v>
      </c>
      <c r="D22" s="12" t="s">
        <v>66</v>
      </c>
      <c r="E22" s="12" t="s">
        <v>43</v>
      </c>
      <c r="F22" s="13">
        <v>45720</v>
      </c>
      <c r="G22" s="12" t="s">
        <v>44</v>
      </c>
      <c r="H22" s="12" t="s">
        <v>45</v>
      </c>
      <c r="I22" s="3">
        <v>33726.67</v>
      </c>
      <c r="J22" s="3">
        <v>0</v>
      </c>
      <c r="K22" s="3">
        <v>3372.67</v>
      </c>
      <c r="L22" s="3">
        <v>37099.339999999997</v>
      </c>
    </row>
    <row r="23" spans="1:12" x14ac:dyDescent="0.25">
      <c r="A23">
        <v>22</v>
      </c>
      <c r="B23">
        <v>8</v>
      </c>
      <c r="C23" s="12" t="s">
        <v>41</v>
      </c>
      <c r="D23" s="12" t="s">
        <v>67</v>
      </c>
      <c r="E23" s="12" t="s">
        <v>43</v>
      </c>
      <c r="F23" s="13">
        <v>45720</v>
      </c>
      <c r="G23" s="12" t="s">
        <v>44</v>
      </c>
      <c r="H23" s="12" t="s">
        <v>45</v>
      </c>
      <c r="I23" s="3">
        <v>85055.91</v>
      </c>
      <c r="J23" s="3">
        <v>13498.89</v>
      </c>
      <c r="K23" s="3">
        <v>3038.9300000000003</v>
      </c>
      <c r="L23" s="3">
        <v>74595.95</v>
      </c>
    </row>
    <row r="24" spans="1:12" x14ac:dyDescent="0.25">
      <c r="A24">
        <v>23</v>
      </c>
      <c r="B24">
        <v>8</v>
      </c>
      <c r="C24" s="12" t="s">
        <v>41</v>
      </c>
      <c r="D24" s="12" t="s">
        <v>68</v>
      </c>
      <c r="E24" s="12" t="s">
        <v>43</v>
      </c>
      <c r="F24" s="13">
        <v>45723</v>
      </c>
      <c r="G24" s="12" t="s">
        <v>44</v>
      </c>
      <c r="H24" s="12" t="s">
        <v>45</v>
      </c>
      <c r="I24" s="3">
        <v>30483.800000000003</v>
      </c>
      <c r="J24" s="3">
        <v>4748.63</v>
      </c>
      <c r="K24" s="3">
        <v>539.87</v>
      </c>
      <c r="L24" s="3">
        <v>26275.040000000001</v>
      </c>
    </row>
    <row r="25" spans="1:12" x14ac:dyDescent="0.25">
      <c r="A25">
        <v>24</v>
      </c>
      <c r="B25">
        <v>8</v>
      </c>
      <c r="C25" s="12" t="s">
        <v>41</v>
      </c>
      <c r="D25" s="12" t="s">
        <v>69</v>
      </c>
      <c r="E25" s="12" t="s">
        <v>43</v>
      </c>
      <c r="F25" s="13">
        <v>45727</v>
      </c>
      <c r="G25" s="12" t="s">
        <v>44</v>
      </c>
      <c r="H25" s="12" t="s">
        <v>45</v>
      </c>
      <c r="I25" s="3">
        <v>104256.07</v>
      </c>
      <c r="J25" s="3">
        <v>15954.95</v>
      </c>
      <c r="K25" s="3">
        <v>4477.1499999999996</v>
      </c>
      <c r="L25" s="3">
        <v>92778.27</v>
      </c>
    </row>
    <row r="26" spans="1:12" x14ac:dyDescent="0.25">
      <c r="A26">
        <v>25</v>
      </c>
      <c r="B26">
        <v>8</v>
      </c>
      <c r="C26" s="12" t="s">
        <v>41</v>
      </c>
      <c r="D26" s="12" t="s">
        <v>70</v>
      </c>
      <c r="E26" s="12" t="s">
        <v>43</v>
      </c>
      <c r="F26" s="13">
        <v>45730</v>
      </c>
      <c r="G26" s="12" t="s">
        <v>44</v>
      </c>
      <c r="H26" s="12" t="s">
        <v>45</v>
      </c>
      <c r="I26" s="3">
        <v>30542.949999999997</v>
      </c>
      <c r="J26" s="3">
        <v>5326.99</v>
      </c>
      <c r="K26" s="3">
        <v>252.16</v>
      </c>
      <c r="L26" s="3">
        <v>25468.12</v>
      </c>
    </row>
    <row r="27" spans="1:12" x14ac:dyDescent="0.25">
      <c r="A27">
        <v>26</v>
      </c>
      <c r="B27">
        <v>8</v>
      </c>
      <c r="C27" s="12" t="s">
        <v>41</v>
      </c>
      <c r="D27" s="12" t="s">
        <v>71</v>
      </c>
      <c r="E27" s="12" t="s">
        <v>43</v>
      </c>
      <c r="F27" s="13">
        <v>45734</v>
      </c>
      <c r="G27" s="12" t="s">
        <v>44</v>
      </c>
      <c r="H27" s="12" t="s">
        <v>45</v>
      </c>
      <c r="I27" s="3">
        <v>82484.540000000008</v>
      </c>
      <c r="J27" s="3">
        <v>12709.52</v>
      </c>
      <c r="K27" s="3">
        <v>872.28</v>
      </c>
      <c r="L27" s="3">
        <v>70647.3</v>
      </c>
    </row>
    <row r="28" spans="1:12" x14ac:dyDescent="0.25">
      <c r="A28">
        <v>27</v>
      </c>
      <c r="B28">
        <v>8</v>
      </c>
      <c r="C28" s="12" t="s">
        <v>41</v>
      </c>
      <c r="D28" s="12" t="s">
        <v>72</v>
      </c>
      <c r="E28" s="12" t="s">
        <v>43</v>
      </c>
      <c r="F28" s="13">
        <v>45740</v>
      </c>
      <c r="G28" s="12" t="s">
        <v>44</v>
      </c>
      <c r="H28" s="12" t="s">
        <v>45</v>
      </c>
      <c r="I28" s="3">
        <v>53279.05</v>
      </c>
      <c r="J28" s="3">
        <v>7176.72</v>
      </c>
      <c r="K28" s="3">
        <v>2406.88</v>
      </c>
      <c r="L28" s="3">
        <v>48509.21</v>
      </c>
    </row>
    <row r="29" spans="1:12" x14ac:dyDescent="0.25">
      <c r="A29">
        <v>28</v>
      </c>
      <c r="B29">
        <v>8</v>
      </c>
      <c r="C29" s="12" t="s">
        <v>41</v>
      </c>
      <c r="D29" s="12" t="s">
        <v>73</v>
      </c>
      <c r="E29" s="12" t="s">
        <v>43</v>
      </c>
      <c r="F29" s="13">
        <v>45741</v>
      </c>
      <c r="G29" s="12" t="s">
        <v>44</v>
      </c>
      <c r="H29" s="12" t="s">
        <v>45</v>
      </c>
      <c r="I29" s="3">
        <v>101746.48000000001</v>
      </c>
      <c r="J29" s="3">
        <v>14449.49</v>
      </c>
      <c r="K29" s="3">
        <v>5767.4699999999993</v>
      </c>
      <c r="L29" s="3">
        <v>93064.46</v>
      </c>
    </row>
    <row r="30" spans="1:12" x14ac:dyDescent="0.25">
      <c r="A30">
        <v>29</v>
      </c>
      <c r="B30">
        <v>8</v>
      </c>
      <c r="C30" s="12" t="s">
        <v>41</v>
      </c>
      <c r="D30" s="12" t="s">
        <v>74</v>
      </c>
      <c r="E30" s="12" t="s">
        <v>43</v>
      </c>
      <c r="F30" s="13">
        <v>45744</v>
      </c>
      <c r="G30" s="12" t="s">
        <v>44</v>
      </c>
      <c r="H30" s="12" t="s">
        <v>45</v>
      </c>
      <c r="I30" s="3">
        <v>46362.15</v>
      </c>
      <c r="J30" s="3">
        <v>7490.15</v>
      </c>
      <c r="K30" s="3">
        <v>2845</v>
      </c>
      <c r="L30" s="3">
        <v>41717</v>
      </c>
    </row>
    <row r="31" spans="1:12" x14ac:dyDescent="0.25">
      <c r="A31">
        <v>30</v>
      </c>
      <c r="B31">
        <v>8</v>
      </c>
      <c r="C31" s="12" t="s">
        <v>41</v>
      </c>
      <c r="D31" s="12" t="s">
        <v>75</v>
      </c>
      <c r="E31" s="12" t="s">
        <v>43</v>
      </c>
      <c r="F31" s="13">
        <v>45749</v>
      </c>
      <c r="G31" s="12" t="s">
        <v>44</v>
      </c>
      <c r="H31" s="12" t="s">
        <v>45</v>
      </c>
      <c r="I31" s="3">
        <v>76614.28</v>
      </c>
      <c r="J31" s="3">
        <v>11343.36</v>
      </c>
      <c r="K31" s="3">
        <v>3620.04</v>
      </c>
      <c r="L31" s="3">
        <v>68890.960000000006</v>
      </c>
    </row>
    <row r="32" spans="1:12" x14ac:dyDescent="0.25">
      <c r="A32">
        <v>31</v>
      </c>
      <c r="B32">
        <v>9</v>
      </c>
      <c r="C32" s="12" t="s">
        <v>46</v>
      </c>
      <c r="D32" s="12" t="s">
        <v>76</v>
      </c>
      <c r="E32" s="12" t="s">
        <v>43</v>
      </c>
      <c r="F32" s="13">
        <v>45749</v>
      </c>
      <c r="G32" s="12" t="s">
        <v>44</v>
      </c>
      <c r="H32" s="12" t="s">
        <v>45</v>
      </c>
      <c r="I32" s="3">
        <v>43232.13</v>
      </c>
      <c r="J32" s="3">
        <v>0</v>
      </c>
      <c r="K32" s="3">
        <v>4323.21</v>
      </c>
      <c r="L32" s="3">
        <v>47555.34</v>
      </c>
    </row>
    <row r="33" spans="1:12" x14ac:dyDescent="0.25">
      <c r="A33">
        <v>32</v>
      </c>
      <c r="B33">
        <v>8</v>
      </c>
      <c r="C33" s="12" t="s">
        <v>41</v>
      </c>
      <c r="D33" s="12" t="s">
        <v>77</v>
      </c>
      <c r="E33" s="12" t="s">
        <v>43</v>
      </c>
      <c r="F33" s="13">
        <v>45751</v>
      </c>
      <c r="G33" s="12" t="s">
        <v>44</v>
      </c>
      <c r="H33" s="12" t="s">
        <v>45</v>
      </c>
      <c r="I33" s="3">
        <v>89114.010000000009</v>
      </c>
      <c r="J33" s="3">
        <v>11531.64</v>
      </c>
      <c r="K33" s="3">
        <v>5030.07</v>
      </c>
      <c r="L33" s="3">
        <v>82612.44</v>
      </c>
    </row>
    <row r="34" spans="1:12" x14ac:dyDescent="0.25">
      <c r="A34">
        <v>33</v>
      </c>
      <c r="B34">
        <v>8</v>
      </c>
      <c r="C34" s="12" t="s">
        <v>41</v>
      </c>
      <c r="D34" s="12" t="s">
        <v>78</v>
      </c>
      <c r="E34" s="12" t="s">
        <v>43</v>
      </c>
      <c r="F34" s="13">
        <v>45755</v>
      </c>
      <c r="G34" s="12" t="s">
        <v>44</v>
      </c>
      <c r="H34" s="12" t="s">
        <v>45</v>
      </c>
      <c r="I34" s="3">
        <v>88428.35</v>
      </c>
      <c r="J34" s="3">
        <v>14645.41</v>
      </c>
      <c r="K34" s="3">
        <v>5101.5</v>
      </c>
      <c r="L34" s="3">
        <v>78884.44</v>
      </c>
    </row>
    <row r="35" spans="1:12" x14ac:dyDescent="0.25">
      <c r="A35">
        <v>34</v>
      </c>
      <c r="B35">
        <v>8</v>
      </c>
      <c r="C35" s="12" t="s">
        <v>41</v>
      </c>
      <c r="D35" s="12" t="s">
        <v>79</v>
      </c>
      <c r="E35" s="12" t="s">
        <v>43</v>
      </c>
      <c r="F35" s="13">
        <v>45758</v>
      </c>
      <c r="G35" s="12" t="s">
        <v>44</v>
      </c>
      <c r="H35" s="12" t="s">
        <v>45</v>
      </c>
      <c r="I35" s="3">
        <v>48784.799999999996</v>
      </c>
      <c r="J35" s="3">
        <v>8781.35</v>
      </c>
      <c r="K35" s="3">
        <v>1275.5</v>
      </c>
      <c r="L35" s="3">
        <v>41278.949999999997</v>
      </c>
    </row>
    <row r="36" spans="1:12" x14ac:dyDescent="0.25">
      <c r="A36">
        <v>35</v>
      </c>
      <c r="B36">
        <v>8</v>
      </c>
      <c r="C36" s="12" t="s">
        <v>41</v>
      </c>
      <c r="D36" s="12" t="s">
        <v>80</v>
      </c>
      <c r="E36" s="12" t="s">
        <v>43</v>
      </c>
      <c r="F36" s="13">
        <v>45763</v>
      </c>
      <c r="G36" s="12" t="s">
        <v>44</v>
      </c>
      <c r="H36" s="12" t="s">
        <v>45</v>
      </c>
      <c r="I36" s="3">
        <v>76926</v>
      </c>
      <c r="J36" s="3">
        <v>11129.22</v>
      </c>
      <c r="K36" s="3">
        <v>1549.92</v>
      </c>
      <c r="L36" s="3">
        <v>67346.7</v>
      </c>
    </row>
    <row r="37" spans="1:12" x14ac:dyDescent="0.25">
      <c r="A37">
        <v>36</v>
      </c>
      <c r="B37">
        <v>8</v>
      </c>
      <c r="C37" s="12" t="s">
        <v>41</v>
      </c>
      <c r="D37" s="12" t="s">
        <v>81</v>
      </c>
      <c r="E37" s="12" t="s">
        <v>43</v>
      </c>
      <c r="F37" s="13">
        <v>45775</v>
      </c>
      <c r="G37" s="12" t="s">
        <v>44</v>
      </c>
      <c r="H37" s="12" t="s">
        <v>45</v>
      </c>
      <c r="I37" s="3">
        <v>7095</v>
      </c>
      <c r="J37" s="3">
        <v>0</v>
      </c>
      <c r="K37" s="3">
        <v>1419</v>
      </c>
      <c r="L37" s="3">
        <v>8514</v>
      </c>
    </row>
    <row r="38" spans="1:12" x14ac:dyDescent="0.25">
      <c r="A38">
        <v>37</v>
      </c>
      <c r="B38">
        <v>8</v>
      </c>
      <c r="C38" s="12" t="s">
        <v>41</v>
      </c>
      <c r="D38" s="12" t="s">
        <v>82</v>
      </c>
      <c r="E38" s="12" t="s">
        <v>43</v>
      </c>
      <c r="F38" s="13">
        <v>45776</v>
      </c>
      <c r="G38" s="12" t="s">
        <v>44</v>
      </c>
      <c r="H38" s="12" t="s">
        <v>45</v>
      </c>
      <c r="I38" s="3">
        <v>96373.92</v>
      </c>
      <c r="J38" s="3">
        <v>15694.97</v>
      </c>
      <c r="K38" s="3">
        <v>4155.72</v>
      </c>
      <c r="L38" s="3">
        <v>84834.67</v>
      </c>
    </row>
    <row r="39" spans="1:12" x14ac:dyDescent="0.25">
      <c r="A39">
        <v>38</v>
      </c>
      <c r="B39">
        <v>8</v>
      </c>
      <c r="C39" s="12" t="s">
        <v>41</v>
      </c>
      <c r="D39" s="12" t="s">
        <v>83</v>
      </c>
      <c r="E39" s="12" t="s">
        <v>43</v>
      </c>
      <c r="F39" s="13">
        <v>45777</v>
      </c>
      <c r="G39" s="12" t="s">
        <v>44</v>
      </c>
      <c r="H39" s="12" t="s">
        <v>45</v>
      </c>
      <c r="I39" s="3">
        <v>90510.41</v>
      </c>
      <c r="J39" s="3">
        <v>14679.06</v>
      </c>
      <c r="K39" s="3">
        <v>1476.1799999999998</v>
      </c>
      <c r="L39" s="3">
        <v>77307.53</v>
      </c>
    </row>
    <row r="40" spans="1:12" x14ac:dyDescent="0.25">
      <c r="A40">
        <v>39</v>
      </c>
      <c r="B40">
        <v>8</v>
      </c>
      <c r="C40" s="12" t="s">
        <v>41</v>
      </c>
      <c r="D40" s="12" t="s">
        <v>84</v>
      </c>
      <c r="E40" s="12" t="s">
        <v>43</v>
      </c>
      <c r="F40" s="13">
        <v>45777</v>
      </c>
      <c r="G40" s="12" t="s">
        <v>44</v>
      </c>
      <c r="H40" s="12" t="s">
        <v>45</v>
      </c>
      <c r="I40" s="3">
        <v>59125.84</v>
      </c>
      <c r="J40" s="3">
        <v>9606.34</v>
      </c>
      <c r="K40" s="3">
        <v>628.16</v>
      </c>
      <c r="L40" s="3">
        <v>50147.66</v>
      </c>
    </row>
    <row r="41" spans="1:12" x14ac:dyDescent="0.25">
      <c r="A41">
        <v>40</v>
      </c>
      <c r="B41">
        <v>8</v>
      </c>
      <c r="C41" s="12" t="s">
        <v>41</v>
      </c>
      <c r="D41" s="12" t="s">
        <v>85</v>
      </c>
      <c r="E41" s="12" t="s">
        <v>43</v>
      </c>
      <c r="F41" s="13">
        <v>45779</v>
      </c>
      <c r="G41" s="12" t="s">
        <v>44</v>
      </c>
      <c r="H41" s="12" t="s">
        <v>45</v>
      </c>
      <c r="I41" s="3">
        <v>54004.04</v>
      </c>
      <c r="J41" s="3">
        <v>6896.84</v>
      </c>
      <c r="K41" s="3">
        <v>5536.76</v>
      </c>
      <c r="L41" s="3">
        <v>52643.96</v>
      </c>
    </row>
    <row r="42" spans="1:12" x14ac:dyDescent="0.25">
      <c r="A42">
        <v>41</v>
      </c>
      <c r="B42">
        <v>8</v>
      </c>
      <c r="C42" s="12" t="s">
        <v>41</v>
      </c>
      <c r="D42" s="12" t="s">
        <v>86</v>
      </c>
      <c r="E42" s="12" t="s">
        <v>43</v>
      </c>
      <c r="F42" s="13">
        <v>45779</v>
      </c>
      <c r="G42" s="12" t="s">
        <v>44</v>
      </c>
      <c r="H42" s="12" t="s">
        <v>45</v>
      </c>
      <c r="I42" s="3">
        <v>71249.569999999992</v>
      </c>
      <c r="J42" s="3">
        <v>8793.43</v>
      </c>
      <c r="K42" s="3">
        <v>3778.54</v>
      </c>
      <c r="L42" s="3">
        <v>66234.679999999993</v>
      </c>
    </row>
    <row r="43" spans="1:12" x14ac:dyDescent="0.25">
      <c r="A43">
        <v>42</v>
      </c>
      <c r="B43">
        <v>8</v>
      </c>
      <c r="C43" s="12" t="s">
        <v>41</v>
      </c>
      <c r="D43" s="12" t="s">
        <v>87</v>
      </c>
      <c r="E43" s="12" t="s">
        <v>43</v>
      </c>
      <c r="F43" s="13">
        <v>45783</v>
      </c>
      <c r="G43" s="12" t="s">
        <v>44</v>
      </c>
      <c r="H43" s="12" t="s">
        <v>45</v>
      </c>
      <c r="I43" s="3">
        <v>91307.93</v>
      </c>
      <c r="J43" s="3">
        <v>14725.39</v>
      </c>
      <c r="K43" s="3">
        <v>5090.8</v>
      </c>
      <c r="L43" s="3">
        <v>81673.34</v>
      </c>
    </row>
    <row r="44" spans="1:12" x14ac:dyDescent="0.25">
      <c r="A44">
        <v>43</v>
      </c>
      <c r="B44">
        <v>9</v>
      </c>
      <c r="C44" s="12" t="s">
        <v>46</v>
      </c>
      <c r="D44" s="12" t="s">
        <v>88</v>
      </c>
      <c r="E44" s="12" t="s">
        <v>43</v>
      </c>
      <c r="F44" s="13">
        <v>45785</v>
      </c>
      <c r="G44" s="12" t="s">
        <v>44</v>
      </c>
      <c r="H44" s="12" t="s">
        <v>45</v>
      </c>
      <c r="I44" s="3">
        <v>46171.45</v>
      </c>
      <c r="J44" s="3">
        <v>0</v>
      </c>
      <c r="K44" s="3">
        <v>4617.1499999999996</v>
      </c>
      <c r="L44" s="3">
        <v>50788.6</v>
      </c>
    </row>
    <row r="45" spans="1:12" x14ac:dyDescent="0.25">
      <c r="A45">
        <v>44</v>
      </c>
      <c r="B45">
        <v>8</v>
      </c>
      <c r="C45" s="12" t="s">
        <v>41</v>
      </c>
      <c r="D45" s="12" t="s">
        <v>89</v>
      </c>
      <c r="E45" s="12" t="s">
        <v>43</v>
      </c>
      <c r="F45" s="13">
        <v>45786</v>
      </c>
      <c r="G45" s="12" t="s">
        <v>44</v>
      </c>
      <c r="H45" s="12" t="s">
        <v>45</v>
      </c>
      <c r="I45" s="3">
        <v>73867.67</v>
      </c>
      <c r="J45" s="3">
        <v>10294.94</v>
      </c>
      <c r="K45" s="3">
        <v>4609.45</v>
      </c>
      <c r="L45" s="3">
        <v>68182.179999999993</v>
      </c>
    </row>
    <row r="46" spans="1:12" x14ac:dyDescent="0.25">
      <c r="A46">
        <v>45</v>
      </c>
      <c r="B46">
        <v>8</v>
      </c>
      <c r="C46" s="12" t="s">
        <v>41</v>
      </c>
      <c r="D46" s="12" t="s">
        <v>90</v>
      </c>
      <c r="E46" s="12" t="s">
        <v>43</v>
      </c>
      <c r="F46" s="13">
        <v>45791</v>
      </c>
      <c r="G46" s="12" t="s">
        <v>44</v>
      </c>
      <c r="H46" s="12" t="s">
        <v>45</v>
      </c>
      <c r="I46" s="3">
        <v>83445.349999999991</v>
      </c>
      <c r="J46" s="3">
        <v>11914.75</v>
      </c>
      <c r="K46" s="3">
        <v>3423.3799999999997</v>
      </c>
      <c r="L46" s="3">
        <v>74953.98</v>
      </c>
    </row>
    <row r="47" spans="1:12" x14ac:dyDescent="0.25">
      <c r="A47">
        <v>46</v>
      </c>
      <c r="B47">
        <v>8</v>
      </c>
      <c r="C47" s="12" t="s">
        <v>41</v>
      </c>
      <c r="D47" s="12" t="s">
        <v>91</v>
      </c>
      <c r="E47" s="12" t="s">
        <v>43</v>
      </c>
      <c r="F47" s="13">
        <v>45798</v>
      </c>
      <c r="G47" s="12" t="s">
        <v>44</v>
      </c>
      <c r="H47" s="12" t="s">
        <v>45</v>
      </c>
      <c r="I47" s="3">
        <v>58494.740000000005</v>
      </c>
      <c r="J47" s="3">
        <v>10726.81</v>
      </c>
      <c r="K47" s="3">
        <v>1101.19</v>
      </c>
      <c r="L47" s="3">
        <v>48869.120000000003</v>
      </c>
    </row>
    <row r="48" spans="1:12" x14ac:dyDescent="0.25">
      <c r="A48">
        <v>47</v>
      </c>
      <c r="B48">
        <v>8</v>
      </c>
      <c r="C48" s="12" t="s">
        <v>41</v>
      </c>
      <c r="D48" s="12" t="s">
        <v>92</v>
      </c>
      <c r="E48" s="12" t="s">
        <v>43</v>
      </c>
      <c r="F48" s="13">
        <v>45798</v>
      </c>
      <c r="G48" s="12" t="s">
        <v>44</v>
      </c>
      <c r="H48" s="12" t="s">
        <v>45</v>
      </c>
      <c r="I48" s="3">
        <v>131893.57999999999</v>
      </c>
      <c r="J48" s="3">
        <v>16401.13</v>
      </c>
      <c r="K48" s="3">
        <v>4603.3100000000004</v>
      </c>
      <c r="L48" s="3">
        <v>120095.76</v>
      </c>
    </row>
    <row r="49" spans="1:12" x14ac:dyDescent="0.25">
      <c r="A49">
        <v>48</v>
      </c>
      <c r="B49">
        <v>8</v>
      </c>
      <c r="C49" s="12" t="s">
        <v>41</v>
      </c>
      <c r="D49" s="12" t="s">
        <v>93</v>
      </c>
      <c r="E49" s="12" t="s">
        <v>43</v>
      </c>
      <c r="F49" s="13">
        <v>45800</v>
      </c>
      <c r="G49" s="12" t="s">
        <v>44</v>
      </c>
      <c r="H49" s="12" t="s">
        <v>45</v>
      </c>
      <c r="I49" s="3">
        <v>72380.320000000007</v>
      </c>
      <c r="J49" s="3">
        <v>11313.7</v>
      </c>
      <c r="K49" s="3">
        <v>5159.59</v>
      </c>
      <c r="L49" s="3">
        <v>66226.210000000006</v>
      </c>
    </row>
    <row r="50" spans="1:12" x14ac:dyDescent="0.25">
      <c r="A50">
        <v>49</v>
      </c>
      <c r="B50">
        <v>8</v>
      </c>
      <c r="C50" s="12" t="s">
        <v>41</v>
      </c>
      <c r="D50" s="12" t="s">
        <v>94</v>
      </c>
      <c r="E50" s="12" t="s">
        <v>43</v>
      </c>
      <c r="F50" s="13">
        <v>45804</v>
      </c>
      <c r="G50" s="12" t="s">
        <v>44</v>
      </c>
      <c r="H50" s="12" t="s">
        <v>45</v>
      </c>
      <c r="I50" s="3">
        <v>84953.64</v>
      </c>
      <c r="J50" s="3">
        <v>12819.8</v>
      </c>
      <c r="K50" s="3">
        <v>2497.63</v>
      </c>
      <c r="L50" s="3">
        <v>74631.47</v>
      </c>
    </row>
    <row r="51" spans="1:12" x14ac:dyDescent="0.25">
      <c r="A51">
        <v>50</v>
      </c>
      <c r="B51">
        <v>8</v>
      </c>
      <c r="C51" s="12" t="s">
        <v>41</v>
      </c>
      <c r="D51" s="12" t="s">
        <v>95</v>
      </c>
      <c r="E51" s="12" t="s">
        <v>43</v>
      </c>
      <c r="F51" s="13">
        <v>45810</v>
      </c>
      <c r="G51" s="12" t="s">
        <v>44</v>
      </c>
      <c r="H51" s="12" t="s">
        <v>45</v>
      </c>
      <c r="I51" s="3">
        <v>35439.179999999993</v>
      </c>
      <c r="J51" s="3">
        <v>5223.32</v>
      </c>
      <c r="K51" s="3">
        <v>3007.9100000000003</v>
      </c>
      <c r="L51" s="3">
        <v>33223.769999999997</v>
      </c>
    </row>
    <row r="52" spans="1:12" x14ac:dyDescent="0.25">
      <c r="A52">
        <v>51</v>
      </c>
      <c r="B52">
        <v>9</v>
      </c>
      <c r="C52" s="12" t="s">
        <v>46</v>
      </c>
      <c r="D52" s="12" t="s">
        <v>96</v>
      </c>
      <c r="E52" s="12" t="s">
        <v>43</v>
      </c>
      <c r="F52" s="13">
        <v>45811</v>
      </c>
      <c r="G52" s="12" t="s">
        <v>44</v>
      </c>
      <c r="H52" s="12" t="s">
        <v>45</v>
      </c>
      <c r="I52" s="3">
        <v>44489.38</v>
      </c>
      <c r="J52" s="3">
        <v>0</v>
      </c>
      <c r="K52" s="3">
        <v>4448.9399999999996</v>
      </c>
      <c r="L52" s="3">
        <v>48938.32</v>
      </c>
    </row>
    <row r="53" spans="1:12" x14ac:dyDescent="0.25">
      <c r="A53">
        <v>52</v>
      </c>
      <c r="B53">
        <v>8</v>
      </c>
      <c r="C53" s="12" t="s">
        <v>41</v>
      </c>
      <c r="D53" s="12" t="s">
        <v>97</v>
      </c>
      <c r="E53" s="12" t="s">
        <v>43</v>
      </c>
      <c r="F53" s="13">
        <v>45812</v>
      </c>
      <c r="G53" s="12" t="s">
        <v>44</v>
      </c>
      <c r="H53" s="12" t="s">
        <v>45</v>
      </c>
      <c r="I53" s="3">
        <v>72337.41</v>
      </c>
      <c r="J53" s="3">
        <v>11380.49</v>
      </c>
      <c r="K53" s="3">
        <v>2708.64</v>
      </c>
      <c r="L53" s="3">
        <v>63665.56</v>
      </c>
    </row>
    <row r="54" spans="1:12" x14ac:dyDescent="0.25">
      <c r="A54">
        <v>53</v>
      </c>
      <c r="B54">
        <v>8</v>
      </c>
      <c r="C54" s="12" t="s">
        <v>41</v>
      </c>
      <c r="D54" s="12" t="s">
        <v>98</v>
      </c>
      <c r="E54" s="12" t="s">
        <v>43</v>
      </c>
      <c r="F54" s="13">
        <v>45818</v>
      </c>
      <c r="G54" s="12" t="s">
        <v>44</v>
      </c>
      <c r="H54" s="12" t="s">
        <v>45</v>
      </c>
      <c r="I54" s="3">
        <v>79066.669999999984</v>
      </c>
      <c r="J54" s="3">
        <v>10975.9</v>
      </c>
      <c r="K54" s="3">
        <v>6112.24</v>
      </c>
      <c r="L54" s="3">
        <v>74203.009999999995</v>
      </c>
    </row>
    <row r="55" spans="1:12" x14ac:dyDescent="0.25">
      <c r="A55">
        <v>54</v>
      </c>
      <c r="B55">
        <v>8</v>
      </c>
      <c r="C55" s="12" t="s">
        <v>41</v>
      </c>
      <c r="D55" s="12" t="s">
        <v>99</v>
      </c>
      <c r="E55" s="12" t="s">
        <v>43</v>
      </c>
      <c r="F55" s="13">
        <v>45819</v>
      </c>
      <c r="G55" s="12" t="s">
        <v>44</v>
      </c>
      <c r="H55" s="12" t="s">
        <v>45</v>
      </c>
      <c r="I55" s="3">
        <v>66961.19</v>
      </c>
      <c r="J55" s="3">
        <v>11223.37</v>
      </c>
      <c r="K55" s="3">
        <v>2326.61</v>
      </c>
      <c r="L55" s="3">
        <v>58064.43</v>
      </c>
    </row>
    <row r="56" spans="1:12" x14ac:dyDescent="0.25">
      <c r="A56">
        <v>55</v>
      </c>
      <c r="B56">
        <v>8</v>
      </c>
      <c r="C56" s="12" t="s">
        <v>41</v>
      </c>
      <c r="D56" s="12" t="s">
        <v>100</v>
      </c>
      <c r="E56" s="12" t="s">
        <v>43</v>
      </c>
      <c r="F56" s="13">
        <v>45824</v>
      </c>
      <c r="G56" s="12" t="s">
        <v>44</v>
      </c>
      <c r="H56" s="12" t="s">
        <v>45</v>
      </c>
      <c r="I56" s="3">
        <v>76790.89</v>
      </c>
      <c r="J56" s="3">
        <v>12085.22</v>
      </c>
      <c r="K56" s="3">
        <v>3472.27</v>
      </c>
      <c r="L56" s="3">
        <v>68177.94</v>
      </c>
    </row>
    <row r="57" spans="1:12" x14ac:dyDescent="0.25">
      <c r="A57">
        <v>56</v>
      </c>
      <c r="B57">
        <v>8</v>
      </c>
      <c r="C57" s="12" t="s">
        <v>41</v>
      </c>
      <c r="D57" s="12" t="s">
        <v>101</v>
      </c>
      <c r="E57" s="12" t="s">
        <v>43</v>
      </c>
      <c r="F57" s="13">
        <v>45826</v>
      </c>
      <c r="G57" s="12" t="s">
        <v>44</v>
      </c>
      <c r="H57" s="12" t="s">
        <v>45</v>
      </c>
      <c r="I57" s="3">
        <v>117637.93</v>
      </c>
      <c r="J57" s="3">
        <v>17011.77</v>
      </c>
      <c r="K57" s="3">
        <v>7479.74</v>
      </c>
      <c r="L57" s="3">
        <v>108105.9</v>
      </c>
    </row>
    <row r="58" spans="1:12" x14ac:dyDescent="0.25">
      <c r="A58">
        <v>57</v>
      </c>
      <c r="B58">
        <v>8</v>
      </c>
      <c r="C58" s="12" t="s">
        <v>41</v>
      </c>
      <c r="D58" s="12" t="s">
        <v>102</v>
      </c>
      <c r="E58" s="12" t="s">
        <v>43</v>
      </c>
      <c r="F58" s="13">
        <v>45831</v>
      </c>
      <c r="G58" s="12" t="s">
        <v>44</v>
      </c>
      <c r="H58" s="12" t="s">
        <v>45</v>
      </c>
      <c r="I58" s="3">
        <v>72674.58</v>
      </c>
      <c r="J58" s="3">
        <v>11191.43</v>
      </c>
      <c r="K58" s="3">
        <v>2755.5099999999998</v>
      </c>
      <c r="L58" s="3">
        <v>64238.66</v>
      </c>
    </row>
    <row r="59" spans="1:12" x14ac:dyDescent="0.25">
      <c r="A59">
        <v>58</v>
      </c>
      <c r="B59">
        <v>8</v>
      </c>
      <c r="C59" s="12" t="s">
        <v>41</v>
      </c>
      <c r="D59" s="12" t="s">
        <v>103</v>
      </c>
      <c r="E59" s="12" t="s">
        <v>43</v>
      </c>
      <c r="F59" s="13">
        <v>45832</v>
      </c>
      <c r="G59" s="12" t="s">
        <v>44</v>
      </c>
      <c r="H59" s="12" t="s">
        <v>45</v>
      </c>
      <c r="I59" s="3">
        <v>80501.400000000009</v>
      </c>
      <c r="J59" s="3">
        <v>13101.53</v>
      </c>
      <c r="K59" s="3">
        <v>3241.59</v>
      </c>
      <c r="L59" s="3">
        <v>70641.460000000006</v>
      </c>
    </row>
    <row r="60" spans="1:12" x14ac:dyDescent="0.25">
      <c r="A60">
        <v>59</v>
      </c>
      <c r="B60">
        <v>9</v>
      </c>
      <c r="C60" s="12" t="s">
        <v>46</v>
      </c>
      <c r="D60" s="12" t="s">
        <v>104</v>
      </c>
      <c r="E60" s="12" t="s">
        <v>43</v>
      </c>
      <c r="F60" s="13">
        <v>45834</v>
      </c>
      <c r="G60" s="12" t="s">
        <v>44</v>
      </c>
      <c r="H60" s="12" t="s">
        <v>45</v>
      </c>
      <c r="I60" s="3">
        <v>67028.069999999992</v>
      </c>
      <c r="J60" s="3">
        <v>0</v>
      </c>
      <c r="K60" s="3">
        <v>13405.61</v>
      </c>
      <c r="L60" s="3">
        <v>80433.679999999993</v>
      </c>
    </row>
    <row r="61" spans="1:12" x14ac:dyDescent="0.25">
      <c r="A61">
        <v>60</v>
      </c>
      <c r="B61">
        <v>8</v>
      </c>
      <c r="C61" s="12" t="s">
        <v>41</v>
      </c>
      <c r="D61" s="12" t="s">
        <v>105</v>
      </c>
      <c r="E61" s="12" t="s">
        <v>43</v>
      </c>
      <c r="F61" s="13">
        <v>45838</v>
      </c>
      <c r="G61" s="12" t="s">
        <v>44</v>
      </c>
      <c r="H61" s="12" t="s">
        <v>45</v>
      </c>
      <c r="I61" s="3">
        <v>47387.23</v>
      </c>
      <c r="J61" s="3">
        <v>6997.39</v>
      </c>
      <c r="K61" s="3">
        <v>3133.92</v>
      </c>
      <c r="L61" s="3">
        <v>43523.76</v>
      </c>
    </row>
    <row r="62" spans="1:12" x14ac:dyDescent="0.25">
      <c r="A62">
        <v>61</v>
      </c>
      <c r="B62">
        <v>9</v>
      </c>
      <c r="C62" s="12" t="s">
        <v>46</v>
      </c>
      <c r="D62" s="12" t="s">
        <v>106</v>
      </c>
      <c r="E62" s="12" t="s">
        <v>43</v>
      </c>
      <c r="F62" s="13">
        <v>45839</v>
      </c>
      <c r="G62" s="12" t="s">
        <v>44</v>
      </c>
      <c r="H62" s="12" t="s">
        <v>45</v>
      </c>
      <c r="I62" s="3">
        <v>50380.1</v>
      </c>
      <c r="J62" s="3">
        <v>0</v>
      </c>
      <c r="K62" s="3">
        <v>5038.01</v>
      </c>
      <c r="L62" s="3">
        <v>55418.11</v>
      </c>
    </row>
    <row r="63" spans="1:12" x14ac:dyDescent="0.25">
      <c r="A63">
        <v>62</v>
      </c>
      <c r="B63">
        <v>8</v>
      </c>
      <c r="C63" s="12" t="s">
        <v>41</v>
      </c>
      <c r="D63" s="12" t="s">
        <v>107</v>
      </c>
      <c r="E63" s="12" t="s">
        <v>43</v>
      </c>
      <c r="F63" s="13">
        <v>45840</v>
      </c>
      <c r="G63" s="12" t="s">
        <v>44</v>
      </c>
      <c r="H63" s="12" t="s">
        <v>45</v>
      </c>
      <c r="I63" s="3">
        <v>65399.700000000004</v>
      </c>
      <c r="J63" s="3">
        <v>10362.85</v>
      </c>
      <c r="K63" s="3">
        <v>1347.34</v>
      </c>
      <c r="L63" s="3">
        <v>56384.19</v>
      </c>
    </row>
    <row r="64" spans="1:12" x14ac:dyDescent="0.25">
      <c r="A64">
        <v>63</v>
      </c>
      <c r="B64">
        <v>8</v>
      </c>
      <c r="C64" s="12" t="s">
        <v>41</v>
      </c>
      <c r="D64" s="12" t="s">
        <v>108</v>
      </c>
      <c r="E64" s="12" t="s">
        <v>43</v>
      </c>
      <c r="F64" s="13">
        <v>45842</v>
      </c>
      <c r="G64" s="12" t="s">
        <v>44</v>
      </c>
      <c r="H64" s="12" t="s">
        <v>45</v>
      </c>
      <c r="I64" s="3">
        <v>81979.37</v>
      </c>
      <c r="J64" s="3">
        <v>12182.78</v>
      </c>
      <c r="K64" s="3">
        <v>5587.53</v>
      </c>
      <c r="L64" s="3">
        <v>75384.12</v>
      </c>
    </row>
    <row r="65" spans="1:12" x14ac:dyDescent="0.25">
      <c r="A65">
        <v>64</v>
      </c>
      <c r="B65">
        <v>8</v>
      </c>
      <c r="C65" s="12" t="s">
        <v>41</v>
      </c>
      <c r="D65" s="12" t="s">
        <v>109</v>
      </c>
      <c r="E65" s="12" t="s">
        <v>43</v>
      </c>
      <c r="F65" s="13">
        <v>45847</v>
      </c>
      <c r="G65" s="12" t="s">
        <v>44</v>
      </c>
      <c r="H65" s="12" t="s">
        <v>45</v>
      </c>
      <c r="I65" s="3">
        <v>110544.35</v>
      </c>
      <c r="J65" s="3">
        <v>15787.94</v>
      </c>
      <c r="K65" s="3">
        <v>6006.48</v>
      </c>
      <c r="L65" s="3">
        <v>100762.89</v>
      </c>
    </row>
    <row r="66" spans="1:12" x14ac:dyDescent="0.25">
      <c r="A66">
        <v>65</v>
      </c>
      <c r="B66">
        <v>8</v>
      </c>
      <c r="C66" s="12" t="s">
        <v>41</v>
      </c>
      <c r="D66" s="12" t="s">
        <v>110</v>
      </c>
      <c r="E66" s="12" t="s">
        <v>43</v>
      </c>
      <c r="F66" s="13">
        <v>45848</v>
      </c>
      <c r="G66" s="12" t="s">
        <v>44</v>
      </c>
      <c r="H66" s="12" t="s">
        <v>111</v>
      </c>
      <c r="I66" s="3">
        <v>111950.6</v>
      </c>
      <c r="J66" s="3">
        <v>0</v>
      </c>
      <c r="K66" s="3">
        <v>22390.12</v>
      </c>
      <c r="L66" s="3">
        <v>134340.72</v>
      </c>
    </row>
    <row r="67" spans="1:12" x14ac:dyDescent="0.25">
      <c r="A67">
        <v>66</v>
      </c>
      <c r="B67">
        <v>8</v>
      </c>
      <c r="C67" s="12" t="s">
        <v>41</v>
      </c>
      <c r="D67" s="12" t="s">
        <v>112</v>
      </c>
      <c r="E67" s="12" t="s">
        <v>43</v>
      </c>
      <c r="F67" s="13">
        <v>45849</v>
      </c>
      <c r="G67" s="12" t="s">
        <v>44</v>
      </c>
      <c r="H67" s="12" t="s">
        <v>45</v>
      </c>
      <c r="I67" s="3">
        <v>65216.560000000005</v>
      </c>
      <c r="J67" s="3">
        <v>11140.58</v>
      </c>
      <c r="K67" s="3">
        <v>2926</v>
      </c>
      <c r="L67" s="3">
        <v>57001.98</v>
      </c>
    </row>
    <row r="68" spans="1:12" x14ac:dyDescent="0.25">
      <c r="A68">
        <v>67</v>
      </c>
      <c r="B68">
        <v>8</v>
      </c>
      <c r="C68" s="12" t="s">
        <v>41</v>
      </c>
      <c r="D68" s="12" t="s">
        <v>113</v>
      </c>
      <c r="E68" s="12" t="s">
        <v>43</v>
      </c>
      <c r="F68" s="13">
        <v>45859</v>
      </c>
      <c r="G68" s="12" t="s">
        <v>44</v>
      </c>
      <c r="H68" s="12" t="s">
        <v>45</v>
      </c>
      <c r="I68" s="3">
        <v>165001.91</v>
      </c>
      <c r="J68" s="3">
        <v>25126.49</v>
      </c>
      <c r="K68" s="3">
        <v>5851.95</v>
      </c>
      <c r="L68" s="3">
        <v>145727.37</v>
      </c>
    </row>
    <row r="69" spans="1:12" x14ac:dyDescent="0.25">
      <c r="A69">
        <v>68</v>
      </c>
      <c r="B69">
        <v>8</v>
      </c>
      <c r="C69" s="12" t="s">
        <v>41</v>
      </c>
      <c r="D69" s="12" t="s">
        <v>114</v>
      </c>
      <c r="E69" s="12" t="s">
        <v>43</v>
      </c>
      <c r="F69" s="13">
        <v>45861</v>
      </c>
      <c r="G69" s="12" t="s">
        <v>44</v>
      </c>
      <c r="H69" s="12" t="s">
        <v>45</v>
      </c>
      <c r="I69" s="3">
        <v>65328.380000000005</v>
      </c>
      <c r="J69" s="3">
        <v>11507.89</v>
      </c>
      <c r="K69" s="3">
        <v>3068.45</v>
      </c>
      <c r="L69" s="3">
        <v>56888.94</v>
      </c>
    </row>
    <row r="70" spans="1:12" x14ac:dyDescent="0.25">
      <c r="A70">
        <v>69</v>
      </c>
      <c r="B70">
        <v>8</v>
      </c>
      <c r="C70" s="12" t="s">
        <v>41</v>
      </c>
      <c r="D70" s="12" t="s">
        <v>115</v>
      </c>
      <c r="E70" s="12" t="s">
        <v>43</v>
      </c>
      <c r="F70" s="13">
        <v>45866</v>
      </c>
      <c r="G70" s="12" t="s">
        <v>44</v>
      </c>
      <c r="H70" s="12" t="s">
        <v>45</v>
      </c>
      <c r="I70" s="3">
        <v>89630.94</v>
      </c>
      <c r="J70" s="3">
        <v>12037.13</v>
      </c>
      <c r="K70" s="3">
        <v>3679.52</v>
      </c>
      <c r="L70" s="3">
        <v>81273.33</v>
      </c>
    </row>
    <row r="71" spans="1:12" x14ac:dyDescent="0.25">
      <c r="A71">
        <v>70</v>
      </c>
      <c r="B71">
        <v>8</v>
      </c>
      <c r="C71" s="12" t="s">
        <v>41</v>
      </c>
      <c r="D71" s="12" t="s">
        <v>116</v>
      </c>
      <c r="E71" s="12" t="s">
        <v>43</v>
      </c>
      <c r="F71" s="13">
        <v>45867</v>
      </c>
      <c r="G71" s="12" t="s">
        <v>44</v>
      </c>
      <c r="H71" s="12" t="s">
        <v>45</v>
      </c>
      <c r="I71" s="3">
        <v>136608.72</v>
      </c>
      <c r="J71" s="3">
        <v>18289.16</v>
      </c>
      <c r="K71" s="3">
        <v>7288.2699999999995</v>
      </c>
      <c r="L71" s="3">
        <v>125607.83</v>
      </c>
    </row>
    <row r="72" spans="1:12" x14ac:dyDescent="0.25">
      <c r="A72">
        <v>71</v>
      </c>
      <c r="B72">
        <v>8</v>
      </c>
      <c r="C72" s="12" t="s">
        <v>41</v>
      </c>
      <c r="D72" s="12" t="s">
        <v>117</v>
      </c>
      <c r="E72" s="12" t="s">
        <v>43</v>
      </c>
      <c r="F72" s="13">
        <v>45870</v>
      </c>
      <c r="G72" s="12" t="s">
        <v>44</v>
      </c>
      <c r="H72" s="12" t="s">
        <v>45</v>
      </c>
      <c r="I72" s="3">
        <v>59901.08</v>
      </c>
      <c r="J72" s="3">
        <v>9790.7199999999993</v>
      </c>
      <c r="K72" s="3">
        <v>1797.7600000000002</v>
      </c>
      <c r="L72" s="3">
        <v>51908.12</v>
      </c>
    </row>
    <row r="73" spans="1:12" x14ac:dyDescent="0.25">
      <c r="A73">
        <v>72</v>
      </c>
      <c r="B73">
        <v>9</v>
      </c>
      <c r="C73" s="12" t="s">
        <v>46</v>
      </c>
      <c r="D73" s="12" t="s">
        <v>118</v>
      </c>
      <c r="E73" s="12" t="s">
        <v>43</v>
      </c>
      <c r="F73" s="13">
        <v>45873</v>
      </c>
      <c r="G73" s="12" t="s">
        <v>44</v>
      </c>
      <c r="H73" s="12" t="s">
        <v>45</v>
      </c>
      <c r="I73" s="3">
        <v>55248.780000000006</v>
      </c>
      <c r="J73" s="3">
        <v>0</v>
      </c>
      <c r="K73" s="3">
        <v>5524.88</v>
      </c>
      <c r="L73" s="3">
        <v>60773.66</v>
      </c>
    </row>
    <row r="74" spans="1:12" x14ac:dyDescent="0.25">
      <c r="A74">
        <v>73</v>
      </c>
      <c r="B74">
        <v>8</v>
      </c>
      <c r="C74" s="12" t="s">
        <v>41</v>
      </c>
      <c r="D74" s="12" t="s">
        <v>119</v>
      </c>
      <c r="E74" s="12" t="s">
        <v>43</v>
      </c>
      <c r="F74" s="13">
        <v>45874</v>
      </c>
      <c r="G74" s="12" t="s">
        <v>44</v>
      </c>
      <c r="H74" s="12" t="s">
        <v>45</v>
      </c>
      <c r="I74" s="3">
        <v>136558.94</v>
      </c>
      <c r="J74" s="3">
        <v>20634.099999999999</v>
      </c>
      <c r="K74" s="3">
        <v>7777.9400000000005</v>
      </c>
      <c r="L74" s="3">
        <v>123702.78</v>
      </c>
    </row>
    <row r="75" spans="1:12" x14ac:dyDescent="0.25">
      <c r="A75">
        <v>74</v>
      </c>
      <c r="B75">
        <v>8</v>
      </c>
      <c r="C75" s="12" t="s">
        <v>41</v>
      </c>
      <c r="D75" s="12" t="s">
        <v>120</v>
      </c>
      <c r="E75" s="12" t="s">
        <v>43</v>
      </c>
      <c r="F75" s="13">
        <v>45877</v>
      </c>
      <c r="G75" s="12" t="s">
        <v>44</v>
      </c>
      <c r="H75" s="12" t="s">
        <v>45</v>
      </c>
      <c r="I75" s="3">
        <v>56565.75</v>
      </c>
      <c r="J75" s="3">
        <v>48694.73</v>
      </c>
      <c r="K75" s="3">
        <v>363.28</v>
      </c>
      <c r="L75" s="3">
        <v>8234.2999999999993</v>
      </c>
    </row>
    <row r="76" spans="1:12" x14ac:dyDescent="0.25">
      <c r="A76">
        <v>75</v>
      </c>
      <c r="B76">
        <v>8</v>
      </c>
      <c r="C76" s="12" t="s">
        <v>41</v>
      </c>
      <c r="D76" s="12" t="s">
        <v>121</v>
      </c>
      <c r="E76" s="12" t="s">
        <v>43</v>
      </c>
      <c r="F76" s="13">
        <v>45881</v>
      </c>
      <c r="G76" s="12" t="s">
        <v>44</v>
      </c>
      <c r="H76" s="12" t="s">
        <v>45</v>
      </c>
      <c r="I76" s="3">
        <v>98243.38</v>
      </c>
      <c r="J76" s="3">
        <v>15328.35</v>
      </c>
      <c r="K76" s="3">
        <v>4062.4700000000003</v>
      </c>
      <c r="L76" s="3">
        <v>86977.5</v>
      </c>
    </row>
    <row r="77" spans="1:12" x14ac:dyDescent="0.25">
      <c r="A77">
        <v>76</v>
      </c>
      <c r="B77">
        <v>8</v>
      </c>
      <c r="C77" s="12" t="s">
        <v>41</v>
      </c>
      <c r="D77" s="12" t="s">
        <v>122</v>
      </c>
      <c r="E77" s="12" t="s">
        <v>43</v>
      </c>
      <c r="F77" s="13">
        <v>45887</v>
      </c>
      <c r="G77" s="12" t="s">
        <v>44</v>
      </c>
      <c r="H77" s="12" t="s">
        <v>45</v>
      </c>
      <c r="I77" s="3">
        <v>171380.72</v>
      </c>
      <c r="J77" s="3">
        <v>22986.54</v>
      </c>
      <c r="K77" s="3">
        <v>13427.76</v>
      </c>
      <c r="L77" s="3">
        <v>161821.94</v>
      </c>
    </row>
    <row r="78" spans="1:12" x14ac:dyDescent="0.25">
      <c r="A78">
        <v>77</v>
      </c>
      <c r="B78">
        <v>8</v>
      </c>
      <c r="C78" s="12" t="s">
        <v>41</v>
      </c>
      <c r="D78" s="12" t="s">
        <v>123</v>
      </c>
      <c r="E78" s="12" t="s">
        <v>43</v>
      </c>
      <c r="F78" s="13">
        <v>45888</v>
      </c>
      <c r="G78" s="12" t="s">
        <v>44</v>
      </c>
      <c r="H78" s="12" t="s">
        <v>45</v>
      </c>
      <c r="I78" s="3">
        <v>64626.74</v>
      </c>
      <c r="J78" s="3">
        <v>12204.76</v>
      </c>
      <c r="K78" s="3">
        <v>1351.0500000000002</v>
      </c>
      <c r="L78" s="3">
        <v>53773.03</v>
      </c>
    </row>
    <row r="79" spans="1:12" x14ac:dyDescent="0.25">
      <c r="A79">
        <v>78</v>
      </c>
      <c r="B79">
        <v>8</v>
      </c>
      <c r="C79" s="12" t="s">
        <v>41</v>
      </c>
      <c r="D79" s="12" t="s">
        <v>124</v>
      </c>
      <c r="E79" s="12" t="s">
        <v>43</v>
      </c>
      <c r="F79" s="13">
        <v>45891</v>
      </c>
      <c r="G79" s="12" t="s">
        <v>44</v>
      </c>
      <c r="H79" s="12" t="s">
        <v>45</v>
      </c>
      <c r="I79" s="3">
        <v>68107.539999999994</v>
      </c>
      <c r="J79" s="3">
        <v>10649.43</v>
      </c>
      <c r="K79" s="3">
        <v>3690.63</v>
      </c>
      <c r="L79" s="3">
        <v>61148.74</v>
      </c>
    </row>
    <row r="80" spans="1:12" x14ac:dyDescent="0.25">
      <c r="A80">
        <v>79</v>
      </c>
      <c r="B80">
        <v>8</v>
      </c>
      <c r="C80" s="12" t="s">
        <v>41</v>
      </c>
      <c r="D80" s="12" t="s">
        <v>125</v>
      </c>
      <c r="E80" s="12" t="s">
        <v>43</v>
      </c>
      <c r="F80" s="13">
        <v>45896</v>
      </c>
      <c r="G80" s="12" t="s">
        <v>44</v>
      </c>
      <c r="H80" s="12" t="s">
        <v>45</v>
      </c>
      <c r="I80" s="3">
        <v>100388.45</v>
      </c>
      <c r="J80" s="3">
        <v>28330.53</v>
      </c>
      <c r="K80" s="3">
        <v>3629.42</v>
      </c>
      <c r="L80" s="3">
        <v>75687.34</v>
      </c>
    </row>
    <row r="81" spans="1:12" x14ac:dyDescent="0.25">
      <c r="A81">
        <v>80</v>
      </c>
      <c r="B81">
        <v>8</v>
      </c>
      <c r="C81" s="12" t="s">
        <v>41</v>
      </c>
      <c r="D81" s="12" t="s">
        <v>126</v>
      </c>
      <c r="E81" s="12" t="s">
        <v>43</v>
      </c>
      <c r="F81" s="13">
        <v>45898</v>
      </c>
      <c r="G81" s="12" t="s">
        <v>44</v>
      </c>
      <c r="H81" s="12" t="s">
        <v>45</v>
      </c>
      <c r="I81" s="3">
        <v>29445.119999999999</v>
      </c>
      <c r="J81" s="3">
        <v>4932</v>
      </c>
      <c r="K81" s="3">
        <v>524.25</v>
      </c>
      <c r="L81" s="3">
        <v>25037.37</v>
      </c>
    </row>
    <row r="82" spans="1:12" x14ac:dyDescent="0.25">
      <c r="A82">
        <v>81</v>
      </c>
      <c r="B82">
        <v>8</v>
      </c>
      <c r="C82" s="12" t="s">
        <v>41</v>
      </c>
      <c r="D82" s="12" t="s">
        <v>127</v>
      </c>
      <c r="E82" s="12" t="s">
        <v>43</v>
      </c>
      <c r="F82" s="13">
        <v>45908</v>
      </c>
      <c r="G82" s="12" t="s">
        <v>44</v>
      </c>
      <c r="H82" s="12" t="s">
        <v>45</v>
      </c>
      <c r="I82" s="3">
        <v>115993.58</v>
      </c>
      <c r="J82" s="3">
        <v>18713.009999999998</v>
      </c>
      <c r="K82" s="3">
        <v>2898.8900000000003</v>
      </c>
      <c r="L82" s="3">
        <v>100179.46</v>
      </c>
    </row>
    <row r="83" spans="1:12" x14ac:dyDescent="0.25">
      <c r="A83">
        <v>82</v>
      </c>
      <c r="B83">
        <v>8</v>
      </c>
      <c r="C83" s="12" t="s">
        <v>41</v>
      </c>
      <c r="D83" s="12" t="s">
        <v>128</v>
      </c>
      <c r="E83" s="12" t="s">
        <v>43</v>
      </c>
      <c r="F83" s="13">
        <v>45908</v>
      </c>
      <c r="G83" s="12" t="s">
        <v>44</v>
      </c>
      <c r="H83" s="12" t="s">
        <v>45</v>
      </c>
      <c r="I83" s="3">
        <v>36188.9</v>
      </c>
      <c r="J83" s="3">
        <v>0</v>
      </c>
      <c r="K83" s="3">
        <v>1879.84</v>
      </c>
      <c r="L83" s="3">
        <v>38068.74</v>
      </c>
    </row>
    <row r="84" spans="1:12" x14ac:dyDescent="0.25">
      <c r="A84">
        <v>83</v>
      </c>
      <c r="B84">
        <v>9</v>
      </c>
      <c r="C84" s="12" t="s">
        <v>46</v>
      </c>
      <c r="D84" s="12" t="s">
        <v>129</v>
      </c>
      <c r="E84" s="12" t="s">
        <v>43</v>
      </c>
      <c r="F84" s="13">
        <v>45908</v>
      </c>
      <c r="G84" s="12" t="s">
        <v>44</v>
      </c>
      <c r="H84" s="12" t="s">
        <v>45</v>
      </c>
      <c r="I84" s="3">
        <v>54305.440000000002</v>
      </c>
      <c r="J84" s="3">
        <v>0</v>
      </c>
      <c r="K84" s="3">
        <v>5430.54</v>
      </c>
      <c r="L84" s="3">
        <v>59735.98</v>
      </c>
    </row>
    <row r="85" spans="1:12" x14ac:dyDescent="0.25">
      <c r="A85">
        <v>84</v>
      </c>
      <c r="B85">
        <v>8</v>
      </c>
      <c r="C85" s="12" t="s">
        <v>41</v>
      </c>
      <c r="D85" s="12" t="s">
        <v>130</v>
      </c>
      <c r="E85" s="12" t="s">
        <v>43</v>
      </c>
      <c r="F85" s="13">
        <v>45910</v>
      </c>
      <c r="G85" s="12" t="s">
        <v>44</v>
      </c>
      <c r="H85" s="12" t="s">
        <v>45</v>
      </c>
      <c r="I85" s="3">
        <v>78168.09</v>
      </c>
      <c r="J85" s="3">
        <v>13822.79</v>
      </c>
      <c r="K85" s="3">
        <v>2285.8100000000004</v>
      </c>
      <c r="L85" s="3">
        <v>66631.11</v>
      </c>
    </row>
    <row r="86" spans="1:12" x14ac:dyDescent="0.25">
      <c r="A86">
        <v>85</v>
      </c>
      <c r="B86">
        <v>8</v>
      </c>
      <c r="C86" s="12" t="s">
        <v>41</v>
      </c>
      <c r="D86" s="12" t="s">
        <v>131</v>
      </c>
      <c r="E86" s="12" t="s">
        <v>43</v>
      </c>
      <c r="F86" s="13">
        <v>45922</v>
      </c>
      <c r="G86" s="12" t="s">
        <v>44</v>
      </c>
      <c r="H86" s="12" t="s">
        <v>45</v>
      </c>
      <c r="I86" s="3">
        <v>112255.64</v>
      </c>
      <c r="J86" s="3">
        <v>13832.94</v>
      </c>
      <c r="K86" s="3">
        <v>4431.8599999999997</v>
      </c>
      <c r="L86" s="3">
        <v>102854.56</v>
      </c>
    </row>
    <row r="87" spans="1:12" x14ac:dyDescent="0.25">
      <c r="A87">
        <v>86</v>
      </c>
      <c r="B87">
        <v>8</v>
      </c>
      <c r="C87" s="12" t="s">
        <v>41</v>
      </c>
      <c r="D87" s="12" t="s">
        <v>132</v>
      </c>
      <c r="E87" s="12" t="s">
        <v>43</v>
      </c>
      <c r="F87" s="13">
        <v>45922</v>
      </c>
      <c r="G87" s="12" t="s">
        <v>44</v>
      </c>
      <c r="H87" s="12" t="s">
        <v>45</v>
      </c>
      <c r="I87" s="3">
        <v>102900.76000000001</v>
      </c>
      <c r="J87" s="3">
        <v>14376.55</v>
      </c>
      <c r="K87" s="3">
        <v>6359.48</v>
      </c>
      <c r="L87" s="3">
        <v>94883.69</v>
      </c>
    </row>
    <row r="88" spans="1:12" x14ac:dyDescent="0.25">
      <c r="A88">
        <v>87</v>
      </c>
      <c r="B88">
        <v>8</v>
      </c>
      <c r="C88" s="12" t="s">
        <v>41</v>
      </c>
      <c r="D88" s="12" t="s">
        <v>133</v>
      </c>
      <c r="E88" s="12" t="s">
        <v>43</v>
      </c>
      <c r="F88" s="13">
        <v>45922</v>
      </c>
      <c r="G88" s="12" t="s">
        <v>44</v>
      </c>
      <c r="H88" s="12" t="s">
        <v>45</v>
      </c>
      <c r="I88" s="3">
        <v>63744.02</v>
      </c>
      <c r="J88" s="3">
        <v>10433.870000000001</v>
      </c>
      <c r="K88" s="3">
        <v>959.41000000000008</v>
      </c>
      <c r="L88" s="3">
        <v>54269.56</v>
      </c>
    </row>
    <row r="89" spans="1:12" x14ac:dyDescent="0.25">
      <c r="A89">
        <v>88</v>
      </c>
      <c r="B89">
        <v>8</v>
      </c>
      <c r="C89" s="12" t="s">
        <v>41</v>
      </c>
      <c r="D89" s="12" t="s">
        <v>134</v>
      </c>
      <c r="E89" s="12" t="s">
        <v>43</v>
      </c>
      <c r="F89" s="13">
        <v>45924</v>
      </c>
      <c r="G89" s="12" t="s">
        <v>44</v>
      </c>
      <c r="H89" s="12" t="s">
        <v>45</v>
      </c>
      <c r="I89" s="3">
        <v>89783.43</v>
      </c>
      <c r="J89" s="3">
        <v>14161.96</v>
      </c>
      <c r="K89" s="3">
        <v>3188.3999999999996</v>
      </c>
      <c r="L89" s="3">
        <v>78809.87</v>
      </c>
    </row>
    <row r="90" spans="1:12" x14ac:dyDescent="0.25">
      <c r="A90">
        <v>89</v>
      </c>
      <c r="B90">
        <v>8</v>
      </c>
      <c r="C90" s="12" t="s">
        <v>41</v>
      </c>
      <c r="D90" s="12" t="s">
        <v>135</v>
      </c>
      <c r="E90" s="12" t="s">
        <v>43</v>
      </c>
      <c r="F90" s="13">
        <v>45929</v>
      </c>
      <c r="G90" s="12" t="s">
        <v>44</v>
      </c>
      <c r="H90" s="12" t="s">
        <v>45</v>
      </c>
      <c r="I90" s="3">
        <v>43843.18</v>
      </c>
      <c r="J90" s="3">
        <v>6783.19</v>
      </c>
      <c r="K90" s="3">
        <v>2465.2999999999997</v>
      </c>
      <c r="L90" s="3">
        <v>39525.29</v>
      </c>
    </row>
    <row r="91" spans="1:12" x14ac:dyDescent="0.25">
      <c r="A91">
        <v>90</v>
      </c>
      <c r="B91">
        <v>8</v>
      </c>
      <c r="C91" s="12" t="s">
        <v>41</v>
      </c>
      <c r="D91" s="12" t="s">
        <v>136</v>
      </c>
      <c r="E91" s="12" t="s">
        <v>43</v>
      </c>
      <c r="F91" s="13">
        <v>45930</v>
      </c>
      <c r="G91" s="12" t="s">
        <v>44</v>
      </c>
      <c r="H91" s="12" t="s">
        <v>45</v>
      </c>
      <c r="I91" s="3">
        <v>115790.81000000001</v>
      </c>
      <c r="J91" s="3">
        <v>17236.41</v>
      </c>
      <c r="K91" s="3">
        <v>4820.42</v>
      </c>
      <c r="L91" s="3">
        <v>103374.82</v>
      </c>
    </row>
    <row r="92" spans="1:12" x14ac:dyDescent="0.25">
      <c r="A92">
        <v>91</v>
      </c>
      <c r="B92">
        <v>9</v>
      </c>
      <c r="C92" s="12" t="s">
        <v>46</v>
      </c>
      <c r="D92" s="12" t="s">
        <v>137</v>
      </c>
      <c r="E92" s="12" t="s">
        <v>43</v>
      </c>
      <c r="F92" s="13">
        <v>45931</v>
      </c>
      <c r="G92" s="12" t="s">
        <v>44</v>
      </c>
      <c r="H92" s="12" t="s">
        <v>45</v>
      </c>
      <c r="I92" s="3">
        <v>46740.5</v>
      </c>
      <c r="J92" s="3">
        <v>0</v>
      </c>
      <c r="K92" s="3">
        <v>4674.05</v>
      </c>
      <c r="L92" s="3">
        <v>51414.55</v>
      </c>
    </row>
    <row r="93" spans="1:12" x14ac:dyDescent="0.25">
      <c r="A93">
        <v>92</v>
      </c>
      <c r="B93">
        <v>8</v>
      </c>
      <c r="C93" s="12" t="s">
        <v>41</v>
      </c>
      <c r="D93" s="12" t="s">
        <v>138</v>
      </c>
      <c r="E93" s="12" t="s">
        <v>43</v>
      </c>
      <c r="F93" s="13">
        <v>45936</v>
      </c>
      <c r="G93" s="12" t="s">
        <v>44</v>
      </c>
      <c r="H93" s="12" t="s">
        <v>45</v>
      </c>
      <c r="I93" s="3">
        <v>77837.399999999994</v>
      </c>
      <c r="J93" s="3">
        <v>10801.95</v>
      </c>
      <c r="K93" s="3">
        <v>5791.89</v>
      </c>
      <c r="L93" s="3">
        <v>72827.34</v>
      </c>
    </row>
    <row r="94" spans="1:12" x14ac:dyDescent="0.25">
      <c r="A94">
        <v>93</v>
      </c>
      <c r="B94">
        <v>8</v>
      </c>
      <c r="C94" s="12" t="s">
        <v>41</v>
      </c>
      <c r="D94" s="12" t="s">
        <v>139</v>
      </c>
      <c r="E94" s="12" t="s">
        <v>43</v>
      </c>
      <c r="F94" s="13">
        <v>45937</v>
      </c>
      <c r="G94" s="12" t="s">
        <v>44</v>
      </c>
      <c r="H94" s="12" t="s">
        <v>45</v>
      </c>
      <c r="I94" s="3">
        <v>102924</v>
      </c>
      <c r="J94" s="3">
        <v>16925.78</v>
      </c>
      <c r="K94" s="3">
        <v>3969.11</v>
      </c>
      <c r="L94" s="3">
        <v>89967.33</v>
      </c>
    </row>
    <row r="95" spans="1:12" x14ac:dyDescent="0.25">
      <c r="A95">
        <v>94</v>
      </c>
      <c r="B95">
        <v>8</v>
      </c>
      <c r="C95" s="12" t="s">
        <v>41</v>
      </c>
      <c r="D95" s="12" t="s">
        <v>140</v>
      </c>
      <c r="E95" s="12" t="s">
        <v>43</v>
      </c>
      <c r="F95" s="13">
        <v>45943</v>
      </c>
      <c r="G95" s="12" t="s">
        <v>44</v>
      </c>
      <c r="H95" s="12" t="s">
        <v>45</v>
      </c>
      <c r="I95" s="3">
        <v>55186.19</v>
      </c>
      <c r="J95" s="3">
        <v>8025.57</v>
      </c>
      <c r="K95" s="3">
        <v>1973.84</v>
      </c>
      <c r="L95" s="3">
        <v>49134.46</v>
      </c>
    </row>
    <row r="96" spans="1:12" x14ac:dyDescent="0.25">
      <c r="A96">
        <v>95</v>
      </c>
      <c r="B96">
        <v>8</v>
      </c>
      <c r="C96" s="12" t="s">
        <v>41</v>
      </c>
      <c r="D96" s="12" t="s">
        <v>141</v>
      </c>
      <c r="E96" s="12" t="s">
        <v>43</v>
      </c>
      <c r="F96" s="13">
        <v>45945</v>
      </c>
      <c r="G96" s="12" t="s">
        <v>44</v>
      </c>
      <c r="H96" s="12" t="s">
        <v>45</v>
      </c>
      <c r="I96" s="3">
        <v>122433.36</v>
      </c>
      <c r="J96" s="3">
        <v>19169.45</v>
      </c>
      <c r="K96" s="3">
        <v>4650.17</v>
      </c>
      <c r="L96" s="3">
        <v>107914.08</v>
      </c>
    </row>
    <row r="97" spans="1:12" x14ac:dyDescent="0.25">
      <c r="A97">
        <v>96</v>
      </c>
      <c r="B97">
        <v>8</v>
      </c>
      <c r="C97" s="12" t="s">
        <v>41</v>
      </c>
      <c r="D97" s="12" t="s">
        <v>142</v>
      </c>
      <c r="E97" s="12" t="s">
        <v>43</v>
      </c>
      <c r="F97" s="13">
        <v>45952</v>
      </c>
      <c r="G97" s="12" t="s">
        <v>44</v>
      </c>
      <c r="H97" s="12" t="s">
        <v>45</v>
      </c>
      <c r="I97" s="3">
        <v>113518.79000000001</v>
      </c>
      <c r="J97" s="3">
        <v>17899.599999999999</v>
      </c>
      <c r="K97" s="3">
        <v>5252</v>
      </c>
      <c r="L97" s="3">
        <v>100871.19</v>
      </c>
    </row>
    <row r="98" spans="1:12" x14ac:dyDescent="0.25">
      <c r="A98">
        <v>97</v>
      </c>
      <c r="B98">
        <v>8</v>
      </c>
      <c r="C98" s="12" t="s">
        <v>41</v>
      </c>
      <c r="D98" s="12" t="s">
        <v>143</v>
      </c>
      <c r="E98" s="12" t="s">
        <v>43</v>
      </c>
      <c r="F98" s="13">
        <v>45957</v>
      </c>
      <c r="G98" s="12" t="s">
        <v>44</v>
      </c>
      <c r="H98" s="12" t="s">
        <v>45</v>
      </c>
      <c r="I98" s="3">
        <v>77749.81</v>
      </c>
      <c r="J98" s="3">
        <v>9858.24</v>
      </c>
      <c r="K98" s="3">
        <v>4527.7699999999995</v>
      </c>
      <c r="L98" s="3">
        <v>72419.34</v>
      </c>
    </row>
    <row r="99" spans="1:12" x14ac:dyDescent="0.25">
      <c r="A99">
        <v>98</v>
      </c>
      <c r="B99">
        <v>8</v>
      </c>
      <c r="C99" s="12" t="s">
        <v>41</v>
      </c>
      <c r="D99" s="12" t="s">
        <v>144</v>
      </c>
      <c r="E99" s="12" t="s">
        <v>43</v>
      </c>
      <c r="F99" s="13">
        <v>45960</v>
      </c>
      <c r="G99" s="12" t="s">
        <v>44</v>
      </c>
      <c r="H99" s="12" t="s">
        <v>45</v>
      </c>
      <c r="I99" s="3">
        <v>86179.99</v>
      </c>
      <c r="J99" s="3">
        <v>13813.16</v>
      </c>
      <c r="K99" s="3">
        <v>5017.49</v>
      </c>
      <c r="L99" s="3">
        <v>77384.320000000007</v>
      </c>
    </row>
    <row r="100" spans="1:12" x14ac:dyDescent="0.25">
      <c r="A100">
        <v>99</v>
      </c>
      <c r="B100">
        <v>8</v>
      </c>
      <c r="C100" s="12" t="s">
        <v>41</v>
      </c>
      <c r="D100" s="12" t="s">
        <v>145</v>
      </c>
      <c r="E100" s="12" t="s">
        <v>43</v>
      </c>
      <c r="F100" s="13">
        <v>45961</v>
      </c>
      <c r="G100" s="12" t="s">
        <v>44</v>
      </c>
      <c r="H100" s="12" t="s">
        <v>45</v>
      </c>
      <c r="I100" s="3">
        <v>52206.850000000006</v>
      </c>
      <c r="J100" s="3">
        <v>7530.05</v>
      </c>
      <c r="K100" s="3">
        <v>4755.28</v>
      </c>
      <c r="L100" s="3">
        <v>49432.08</v>
      </c>
    </row>
    <row r="101" spans="1:12" x14ac:dyDescent="0.25">
      <c r="A101">
        <v>100</v>
      </c>
      <c r="B101">
        <v>9</v>
      </c>
      <c r="C101" s="12" t="s">
        <v>46</v>
      </c>
      <c r="D101" s="12" t="s">
        <v>146</v>
      </c>
      <c r="E101" s="12" t="s">
        <v>43</v>
      </c>
      <c r="F101" s="13">
        <v>45965</v>
      </c>
      <c r="G101" s="12" t="s">
        <v>44</v>
      </c>
      <c r="H101" s="12" t="s">
        <v>45</v>
      </c>
      <c r="I101" s="3">
        <v>47826.41</v>
      </c>
      <c r="J101" s="3">
        <v>0</v>
      </c>
      <c r="K101" s="3">
        <v>4782.6400000000003</v>
      </c>
      <c r="L101" s="3">
        <v>52609.05</v>
      </c>
    </row>
    <row r="102" spans="1:12" x14ac:dyDescent="0.25">
      <c r="A102">
        <v>101</v>
      </c>
      <c r="B102">
        <v>8</v>
      </c>
      <c r="C102" s="12" t="s">
        <v>41</v>
      </c>
      <c r="D102" s="12" t="s">
        <v>147</v>
      </c>
      <c r="E102" s="12" t="s">
        <v>43</v>
      </c>
      <c r="F102" s="13">
        <v>45965</v>
      </c>
      <c r="G102" s="12" t="s">
        <v>44</v>
      </c>
      <c r="H102" s="12" t="s">
        <v>45</v>
      </c>
      <c r="I102" s="3">
        <v>70333.88</v>
      </c>
      <c r="J102" s="3">
        <v>12399.54</v>
      </c>
      <c r="K102" s="3">
        <v>2540.9299999999998</v>
      </c>
      <c r="L102" s="3">
        <v>60475.27</v>
      </c>
    </row>
    <row r="103" spans="1:12" x14ac:dyDescent="0.25">
      <c r="A103">
        <v>102</v>
      </c>
      <c r="B103">
        <v>8</v>
      </c>
      <c r="C103" s="12" t="s">
        <v>41</v>
      </c>
      <c r="D103" s="12" t="s">
        <v>148</v>
      </c>
      <c r="E103" s="12" t="s">
        <v>43</v>
      </c>
      <c r="F103" s="13">
        <v>45968</v>
      </c>
      <c r="G103" s="12" t="s">
        <v>44</v>
      </c>
      <c r="H103" s="12" t="s">
        <v>45</v>
      </c>
      <c r="I103" s="3">
        <v>55761.700000000004</v>
      </c>
      <c r="J103" s="3">
        <v>8290.0400000000009</v>
      </c>
      <c r="K103" s="3">
        <v>1561.85</v>
      </c>
      <c r="L103" s="3">
        <v>49033.51</v>
      </c>
    </row>
    <row r="104" spans="1:12" x14ac:dyDescent="0.25">
      <c r="A104">
        <v>103</v>
      </c>
      <c r="B104">
        <v>8</v>
      </c>
      <c r="C104" s="12" t="s">
        <v>41</v>
      </c>
      <c r="D104" s="12" t="s">
        <v>149</v>
      </c>
      <c r="E104" s="12" t="s">
        <v>43</v>
      </c>
      <c r="F104" s="13">
        <v>45973</v>
      </c>
      <c r="G104" s="12" t="s">
        <v>44</v>
      </c>
      <c r="H104" s="12" t="s">
        <v>45</v>
      </c>
      <c r="I104" s="3">
        <v>73766.09</v>
      </c>
      <c r="J104" s="3">
        <v>12051.65</v>
      </c>
      <c r="K104" s="3">
        <v>2382.33</v>
      </c>
      <c r="L104" s="3">
        <v>64096.77</v>
      </c>
    </row>
    <row r="105" spans="1:12" x14ac:dyDescent="0.25">
      <c r="A105">
        <v>104</v>
      </c>
      <c r="B105">
        <v>8</v>
      </c>
      <c r="C105" s="12" t="s">
        <v>41</v>
      </c>
      <c r="D105" s="12" t="s">
        <v>150</v>
      </c>
      <c r="E105" s="12" t="s">
        <v>43</v>
      </c>
      <c r="F105" s="13">
        <v>45978</v>
      </c>
      <c r="G105" s="12" t="s">
        <v>44</v>
      </c>
      <c r="H105" s="12" t="s">
        <v>45</v>
      </c>
      <c r="I105" s="3">
        <v>53397.37</v>
      </c>
      <c r="J105" s="3">
        <v>7994.56</v>
      </c>
      <c r="K105" s="3">
        <v>1664.9199999999998</v>
      </c>
      <c r="L105" s="3">
        <v>47067.73</v>
      </c>
    </row>
    <row r="106" spans="1:12" x14ac:dyDescent="0.25">
      <c r="A106">
        <v>105</v>
      </c>
      <c r="B106">
        <v>8</v>
      </c>
      <c r="C106" s="12" t="s">
        <v>41</v>
      </c>
      <c r="D106" s="12" t="s">
        <v>151</v>
      </c>
      <c r="E106" s="12" t="s">
        <v>43</v>
      </c>
      <c r="F106" s="13">
        <v>45980</v>
      </c>
      <c r="G106" s="12" t="s">
        <v>44</v>
      </c>
      <c r="H106" s="12" t="s">
        <v>45</v>
      </c>
      <c r="I106" s="3">
        <v>153381.14000000001</v>
      </c>
      <c r="J106" s="3">
        <v>21647.759999999998</v>
      </c>
      <c r="K106" s="3">
        <v>6924.82</v>
      </c>
      <c r="L106" s="3">
        <v>138658.20000000001</v>
      </c>
    </row>
    <row r="107" spans="1:12" x14ac:dyDescent="0.25">
      <c r="A107">
        <v>106</v>
      </c>
      <c r="B107">
        <v>8</v>
      </c>
      <c r="C107" s="12" t="s">
        <v>41</v>
      </c>
      <c r="D107" s="12" t="s">
        <v>152</v>
      </c>
      <c r="E107" s="12" t="s">
        <v>43</v>
      </c>
      <c r="F107" s="13">
        <v>45985</v>
      </c>
      <c r="G107" s="12" t="s">
        <v>44</v>
      </c>
      <c r="H107" s="12" t="s">
        <v>45</v>
      </c>
      <c r="I107" s="3">
        <v>66646.28</v>
      </c>
      <c r="J107" s="3">
        <v>9986.83</v>
      </c>
      <c r="K107" s="3">
        <v>2122.17</v>
      </c>
      <c r="L107" s="3">
        <v>58781.62</v>
      </c>
    </row>
    <row r="108" spans="1:12" x14ac:dyDescent="0.25">
      <c r="A108">
        <v>107</v>
      </c>
      <c r="B108">
        <v>8</v>
      </c>
      <c r="C108" s="12" t="s">
        <v>41</v>
      </c>
      <c r="D108" s="12" t="s">
        <v>153</v>
      </c>
      <c r="E108" s="12" t="s">
        <v>43</v>
      </c>
      <c r="F108" s="13">
        <v>45987</v>
      </c>
      <c r="G108" s="12" t="s">
        <v>44</v>
      </c>
      <c r="H108" s="12" t="s">
        <v>45</v>
      </c>
      <c r="I108" s="3">
        <v>80697.590000000011</v>
      </c>
      <c r="J108" s="3">
        <v>11295.56</v>
      </c>
      <c r="K108" s="3">
        <v>6786.93</v>
      </c>
      <c r="L108" s="3">
        <v>76188.960000000006</v>
      </c>
    </row>
    <row r="109" spans="1:12" x14ac:dyDescent="0.25">
      <c r="A109">
        <v>108</v>
      </c>
      <c r="B109">
        <v>9</v>
      </c>
      <c r="C109" s="12" t="s">
        <v>46</v>
      </c>
      <c r="D109" s="12" t="s">
        <v>154</v>
      </c>
      <c r="E109" s="12" t="s">
        <v>43</v>
      </c>
      <c r="F109" s="13">
        <v>45987</v>
      </c>
      <c r="G109" s="12" t="s">
        <v>44</v>
      </c>
      <c r="H109" s="12" t="s">
        <v>45</v>
      </c>
      <c r="I109" s="3">
        <v>40000</v>
      </c>
      <c r="J109" s="3">
        <v>0</v>
      </c>
      <c r="K109" s="3">
        <v>8000</v>
      </c>
      <c r="L109" s="3">
        <v>48000</v>
      </c>
    </row>
    <row r="110" spans="1:12" x14ac:dyDescent="0.25">
      <c r="A110">
        <v>109</v>
      </c>
      <c r="B110">
        <v>8</v>
      </c>
      <c r="C110" s="12" t="s">
        <v>41</v>
      </c>
      <c r="D110" s="12" t="s">
        <v>155</v>
      </c>
      <c r="E110" s="12" t="s">
        <v>43</v>
      </c>
      <c r="F110" s="13">
        <v>45989</v>
      </c>
      <c r="G110" s="12" t="s">
        <v>44</v>
      </c>
      <c r="H110" s="12" t="s">
        <v>45</v>
      </c>
      <c r="I110" s="3">
        <v>160248.27000000002</v>
      </c>
      <c r="J110" s="3">
        <v>27366.98</v>
      </c>
      <c r="K110" s="3">
        <v>2864.5000000000005</v>
      </c>
      <c r="L110" s="3">
        <v>135745.79</v>
      </c>
    </row>
    <row r="111" spans="1:12" x14ac:dyDescent="0.25">
      <c r="A111">
        <v>110</v>
      </c>
      <c r="B111">
        <v>8</v>
      </c>
      <c r="C111" s="12" t="s">
        <v>41</v>
      </c>
      <c r="D111" s="12" t="s">
        <v>156</v>
      </c>
      <c r="E111" s="12" t="s">
        <v>43</v>
      </c>
      <c r="F111" s="13">
        <v>45993</v>
      </c>
      <c r="G111" s="12" t="s">
        <v>44</v>
      </c>
      <c r="H111" s="12" t="s">
        <v>45</v>
      </c>
      <c r="I111" s="3">
        <v>40192.6</v>
      </c>
      <c r="J111" s="3">
        <v>0</v>
      </c>
      <c r="K111" s="3">
        <v>6719.46</v>
      </c>
      <c r="L111" s="3">
        <v>46912.06</v>
      </c>
    </row>
    <row r="112" spans="1:12" x14ac:dyDescent="0.25">
      <c r="A112">
        <v>111</v>
      </c>
      <c r="B112">
        <v>8</v>
      </c>
      <c r="C112" s="12" t="s">
        <v>41</v>
      </c>
      <c r="D112" s="12" t="s">
        <v>157</v>
      </c>
      <c r="E112" s="12" t="s">
        <v>43</v>
      </c>
      <c r="F112" s="13">
        <v>45993</v>
      </c>
      <c r="G112" s="12" t="s">
        <v>44</v>
      </c>
      <c r="H112" s="12" t="s">
        <v>45</v>
      </c>
      <c r="I112" s="3">
        <v>42424.200000000004</v>
      </c>
      <c r="J112" s="3">
        <v>0</v>
      </c>
      <c r="K112" s="3">
        <v>424.24</v>
      </c>
      <c r="L112" s="3">
        <v>42848.44</v>
      </c>
    </row>
    <row r="113" spans="1:12" x14ac:dyDescent="0.25">
      <c r="A113">
        <v>112</v>
      </c>
      <c r="B113">
        <v>9</v>
      </c>
      <c r="C113" s="12" t="s">
        <v>46</v>
      </c>
      <c r="D113" s="12" t="s">
        <v>158</v>
      </c>
      <c r="E113" s="12" t="s">
        <v>43</v>
      </c>
      <c r="F113" s="13">
        <v>45994</v>
      </c>
      <c r="G113" s="12" t="s">
        <v>44</v>
      </c>
      <c r="H113" s="12" t="s">
        <v>45</v>
      </c>
      <c r="I113" s="3">
        <v>56179.439999999995</v>
      </c>
      <c r="J113" s="3">
        <v>0</v>
      </c>
      <c r="K113" s="3">
        <v>5617.94</v>
      </c>
      <c r="L113" s="3">
        <v>61797.38</v>
      </c>
    </row>
    <row r="114" spans="1:12" x14ac:dyDescent="0.25">
      <c r="A114">
        <v>113</v>
      </c>
      <c r="B114">
        <v>8</v>
      </c>
      <c r="C114" s="12" t="s">
        <v>41</v>
      </c>
      <c r="D114" s="12" t="s">
        <v>159</v>
      </c>
      <c r="E114" s="12" t="s">
        <v>43</v>
      </c>
      <c r="F114" s="13">
        <v>45996</v>
      </c>
      <c r="G114" s="12" t="s">
        <v>44</v>
      </c>
      <c r="H114" s="12" t="s">
        <v>45</v>
      </c>
      <c r="I114" s="3">
        <v>33258.120000000003</v>
      </c>
      <c r="J114" s="3">
        <v>6651.62</v>
      </c>
      <c r="K114" s="3">
        <v>266.07</v>
      </c>
      <c r="L114" s="3">
        <v>26872.57</v>
      </c>
    </row>
    <row r="115" spans="1:12" x14ac:dyDescent="0.25">
      <c r="A115">
        <v>114</v>
      </c>
      <c r="B115">
        <v>8</v>
      </c>
      <c r="C115" s="12" t="s">
        <v>41</v>
      </c>
      <c r="D115" s="12" t="s">
        <v>160</v>
      </c>
      <c r="E115" s="12" t="s">
        <v>43</v>
      </c>
      <c r="F115" s="13">
        <v>45996</v>
      </c>
      <c r="G115" s="12" t="s">
        <v>44</v>
      </c>
      <c r="H115" s="12" t="s">
        <v>45</v>
      </c>
      <c r="I115" s="3">
        <v>28271.98</v>
      </c>
      <c r="J115" s="3">
        <v>2827.19</v>
      </c>
      <c r="K115" s="3">
        <v>1047.3</v>
      </c>
      <c r="L115" s="3">
        <v>26492.09</v>
      </c>
    </row>
    <row r="116" spans="1:12" x14ac:dyDescent="0.25">
      <c r="A116">
        <v>115</v>
      </c>
      <c r="B116">
        <v>8</v>
      </c>
      <c r="C116" s="12" t="s">
        <v>41</v>
      </c>
      <c r="D116" s="12" t="s">
        <v>161</v>
      </c>
      <c r="E116" s="12" t="s">
        <v>43</v>
      </c>
      <c r="F116" s="13">
        <v>46000</v>
      </c>
      <c r="G116" s="12" t="s">
        <v>44</v>
      </c>
      <c r="H116" s="12" t="s">
        <v>45</v>
      </c>
      <c r="I116" s="3">
        <v>64616.41</v>
      </c>
      <c r="J116" s="3">
        <v>11729.29</v>
      </c>
      <c r="K116" s="3">
        <v>2267.6799999999998</v>
      </c>
      <c r="L116" s="3">
        <v>55154.8</v>
      </c>
    </row>
    <row r="117" spans="1:12" x14ac:dyDescent="0.25">
      <c r="A117">
        <v>116</v>
      </c>
      <c r="B117">
        <v>8</v>
      </c>
      <c r="C117" s="12" t="s">
        <v>41</v>
      </c>
      <c r="D117" s="12" t="s">
        <v>162</v>
      </c>
      <c r="E117" s="12" t="s">
        <v>43</v>
      </c>
      <c r="F117" s="13">
        <v>46000</v>
      </c>
      <c r="G117" s="12" t="s">
        <v>44</v>
      </c>
      <c r="H117" s="12" t="s">
        <v>45</v>
      </c>
      <c r="I117" s="3">
        <v>3300</v>
      </c>
      <c r="J117" s="3">
        <v>0</v>
      </c>
      <c r="K117" s="3">
        <v>660</v>
      </c>
      <c r="L117" s="3">
        <v>3960</v>
      </c>
    </row>
    <row r="118" spans="1:12" x14ac:dyDescent="0.25">
      <c r="A118">
        <v>117</v>
      </c>
      <c r="B118">
        <v>8</v>
      </c>
      <c r="C118" s="12" t="s">
        <v>41</v>
      </c>
      <c r="D118" s="12" t="s">
        <v>163</v>
      </c>
      <c r="E118" s="12" t="s">
        <v>43</v>
      </c>
      <c r="F118" s="13">
        <v>46002</v>
      </c>
      <c r="G118" s="12" t="s">
        <v>44</v>
      </c>
      <c r="H118" s="12" t="s">
        <v>45</v>
      </c>
      <c r="I118" s="3">
        <v>8333.33</v>
      </c>
      <c r="J118" s="3">
        <v>0</v>
      </c>
      <c r="K118" s="3">
        <v>1666.67</v>
      </c>
      <c r="L118" s="3">
        <v>10000</v>
      </c>
    </row>
    <row r="119" spans="1:12" x14ac:dyDescent="0.25">
      <c r="A119">
        <v>118</v>
      </c>
      <c r="B119">
        <v>8</v>
      </c>
      <c r="C119" s="12" t="s">
        <v>41</v>
      </c>
      <c r="D119" s="12" t="s">
        <v>164</v>
      </c>
      <c r="E119" s="12" t="s">
        <v>43</v>
      </c>
      <c r="F119" s="13">
        <v>46003</v>
      </c>
      <c r="G119" s="12" t="s">
        <v>44</v>
      </c>
      <c r="H119" s="12" t="s">
        <v>45</v>
      </c>
      <c r="I119" s="3">
        <v>72322.399999999994</v>
      </c>
      <c r="J119" s="3">
        <v>12867.11</v>
      </c>
      <c r="K119" s="3">
        <v>3326.06</v>
      </c>
      <c r="L119" s="3">
        <v>62781.35</v>
      </c>
    </row>
    <row r="120" spans="1:12" x14ac:dyDescent="0.25">
      <c r="A120">
        <v>119</v>
      </c>
      <c r="B120">
        <v>8</v>
      </c>
      <c r="C120" s="12" t="s">
        <v>41</v>
      </c>
      <c r="D120" s="12" t="s">
        <v>165</v>
      </c>
      <c r="E120" s="12" t="s">
        <v>43</v>
      </c>
      <c r="F120" s="13">
        <v>46007</v>
      </c>
      <c r="G120" s="12" t="s">
        <v>44</v>
      </c>
      <c r="H120" s="12" t="s">
        <v>45</v>
      </c>
      <c r="I120" s="3">
        <v>101342.20000000001</v>
      </c>
      <c r="J120" s="3">
        <v>15935.03</v>
      </c>
      <c r="K120" s="3">
        <v>5443.04</v>
      </c>
      <c r="L120" s="3">
        <v>90850.21</v>
      </c>
    </row>
    <row r="121" spans="1:12" x14ac:dyDescent="0.25">
      <c r="A121">
        <v>120</v>
      </c>
      <c r="B121">
        <v>8</v>
      </c>
      <c r="C121" s="12" t="s">
        <v>41</v>
      </c>
      <c r="D121" s="12" t="s">
        <v>166</v>
      </c>
      <c r="E121" s="12" t="s">
        <v>43</v>
      </c>
      <c r="F121" s="13">
        <v>46010</v>
      </c>
      <c r="G121" s="12" t="s">
        <v>44</v>
      </c>
      <c r="H121" s="12" t="s">
        <v>45</v>
      </c>
      <c r="I121" s="3">
        <v>64734.990000000005</v>
      </c>
      <c r="J121" s="3">
        <v>8565.48</v>
      </c>
      <c r="K121" s="3">
        <v>892.19999999999993</v>
      </c>
      <c r="L121" s="3">
        <v>57061.71</v>
      </c>
    </row>
    <row r="122" spans="1:12" x14ac:dyDescent="0.25">
      <c r="A122">
        <v>121</v>
      </c>
      <c r="B122">
        <v>8</v>
      </c>
      <c r="C122" s="12" t="s">
        <v>41</v>
      </c>
      <c r="D122" s="12" t="s">
        <v>167</v>
      </c>
      <c r="E122" s="12" t="s">
        <v>43</v>
      </c>
      <c r="F122" s="13">
        <v>46014</v>
      </c>
      <c r="G122" s="12" t="s">
        <v>44</v>
      </c>
      <c r="H122" s="12" t="s">
        <v>45</v>
      </c>
      <c r="I122" s="3">
        <v>95220.7</v>
      </c>
      <c r="J122" s="3">
        <v>14978.55</v>
      </c>
      <c r="K122" s="3">
        <v>3070.1600000000003</v>
      </c>
      <c r="L122" s="3">
        <v>83312.31</v>
      </c>
    </row>
    <row r="123" spans="1:12" x14ac:dyDescent="0.25">
      <c r="A123">
        <v>122</v>
      </c>
      <c r="B123">
        <v>8</v>
      </c>
      <c r="C123" s="12" t="s">
        <v>41</v>
      </c>
      <c r="D123" s="12" t="s">
        <v>168</v>
      </c>
      <c r="E123" s="12" t="s">
        <v>43</v>
      </c>
      <c r="F123" s="13">
        <v>46017</v>
      </c>
      <c r="G123" s="12" t="s">
        <v>44</v>
      </c>
      <c r="H123" s="12" t="s">
        <v>45</v>
      </c>
      <c r="I123" s="3">
        <v>18978.599999999999</v>
      </c>
      <c r="J123" s="3">
        <v>3795.72</v>
      </c>
      <c r="K123" s="3">
        <v>151.83000000000001</v>
      </c>
      <c r="L123" s="3">
        <v>15334.71</v>
      </c>
    </row>
    <row r="124" spans="1:12" x14ac:dyDescent="0.25">
      <c r="A124">
        <v>123</v>
      </c>
      <c r="B124">
        <v>8</v>
      </c>
      <c r="C124" s="12" t="s">
        <v>41</v>
      </c>
      <c r="D124" s="12" t="s">
        <v>169</v>
      </c>
      <c r="E124" s="12" t="s">
        <v>43</v>
      </c>
      <c r="F124" s="13">
        <v>46021</v>
      </c>
      <c r="G124" s="12" t="s">
        <v>44</v>
      </c>
      <c r="H124" s="12" t="s">
        <v>45</v>
      </c>
      <c r="I124" s="3">
        <v>79264.19</v>
      </c>
      <c r="J124" s="3">
        <v>12491.99</v>
      </c>
      <c r="K124" s="3">
        <v>2320.6</v>
      </c>
      <c r="L124" s="3">
        <v>69092.800000000003</v>
      </c>
    </row>
    <row r="125" spans="1:12" x14ac:dyDescent="0.25">
      <c r="A125">
        <v>124</v>
      </c>
      <c r="B125">
        <v>8</v>
      </c>
      <c r="C125" s="12" t="s">
        <v>41</v>
      </c>
      <c r="D125" s="12" t="s">
        <v>170</v>
      </c>
      <c r="E125" s="12" t="s">
        <v>43</v>
      </c>
      <c r="F125" s="13">
        <v>46022</v>
      </c>
      <c r="G125" s="12" t="s">
        <v>44</v>
      </c>
      <c r="H125" s="12" t="s">
        <v>45</v>
      </c>
      <c r="I125" s="3">
        <v>77446.849999999991</v>
      </c>
      <c r="J125" s="3">
        <v>8627.34</v>
      </c>
      <c r="K125" s="3">
        <v>4276.9400000000005</v>
      </c>
      <c r="L125" s="3">
        <v>73096.45</v>
      </c>
    </row>
    <row r="126" spans="1:12" x14ac:dyDescent="0.25">
      <c r="G126" s="15" t="s">
        <v>19</v>
      </c>
      <c r="H126" s="16"/>
      <c r="I126" s="17">
        <f>SUM(I2:I125)</f>
        <v>9061326.7999999989</v>
      </c>
      <c r="J126" s="17">
        <f>SUM(J2:J125)</f>
        <v>1283978.7400000002</v>
      </c>
      <c r="K126" s="17">
        <f>SUM(K2:K125)</f>
        <v>473687.22</v>
      </c>
      <c r="L126" s="14">
        <f>SUM(L2:L125)</f>
        <v>8251035.2800000021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IŞIKLAR</vt:lpstr>
      <vt:lpstr>LARA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Dospresso Muhasebe</cp:lastModifiedBy>
  <dcterms:created xsi:type="dcterms:W3CDTF">2015-06-05T18:19:34Z</dcterms:created>
  <dcterms:modified xsi:type="dcterms:W3CDTF">2026-03-02T09:27:45Z</dcterms:modified>
</cp:coreProperties>
</file>